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data\FIT CVUT\5-2\DIP\monkey_challenge\"/>
    </mc:Choice>
  </mc:AlternateContent>
  <xr:revisionPtr revIDLastSave="0" documentId="13_ncr:1_{ED2911AA-CD04-4C93-838D-B2B688E9C95E}" xr6:coauthVersionLast="47" xr6:coauthVersionMax="47" xr10:uidLastSave="{00000000-0000-0000-0000-000000000000}"/>
  <bookViews>
    <workbookView xWindow="-120" yWindow="-120" windowWidth="29040" windowHeight="15840" activeTab="2" xr2:uid="{4AB71DB6-ACBD-44C9-9C84-03BC41085FCB}"/>
  </bookViews>
  <sheets>
    <sheet name="Lymphocytes" sheetId="2" r:id="rId1"/>
    <sheet name="Monocytes" sheetId="3" r:id="rId2"/>
    <sheet name="Class Average" sheetId="4" r:id="rId3"/>
    <sheet name="Combined Cells" sheetId="5" r:id="rId4"/>
  </sheets>
  <definedNames>
    <definedName name="_xlnm._FilterDatabase" localSheetId="2" hidden="1">'Class Average'!$B$3:$T$40</definedName>
    <definedName name="_xlnm._FilterDatabase" localSheetId="3" hidden="1">'Combined Cells'!$B$3:$P$40</definedName>
    <definedName name="_xlnm._FilterDatabase" localSheetId="0" hidden="1">Lymphocytes!$B$3:$T$40</definedName>
    <definedName name="_xlnm._FilterDatabase" localSheetId="1" hidden="1">Monocytes!$B$3:$T$3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1" i="2" l="1"/>
  <c r="T42" i="2"/>
  <c r="T43" i="2"/>
  <c r="T44" i="2"/>
  <c r="T45" i="2"/>
  <c r="T46" i="2"/>
  <c r="P46" i="2"/>
  <c r="P41" i="2"/>
  <c r="P42" i="2"/>
  <c r="P43" i="2"/>
  <c r="P44" i="2"/>
  <c r="P45" i="2"/>
  <c r="L41" i="2"/>
  <c r="L42" i="2"/>
  <c r="L43" i="2"/>
  <c r="L44" i="2"/>
  <c r="L45" i="2"/>
  <c r="L46" i="2"/>
  <c r="T41" i="3"/>
  <c r="T42" i="3"/>
  <c r="T43" i="3"/>
  <c r="T44" i="3"/>
  <c r="T45" i="3"/>
  <c r="T46" i="3"/>
  <c r="P41" i="3"/>
  <c r="P42" i="3"/>
  <c r="P43" i="3"/>
  <c r="P44" i="3"/>
  <c r="P45" i="3"/>
  <c r="P46" i="3"/>
  <c r="L41" i="3"/>
  <c r="L42" i="3"/>
  <c r="L43" i="3"/>
  <c r="L44" i="3"/>
  <c r="L45" i="3"/>
  <c r="L46" i="3"/>
  <c r="L41" i="5"/>
  <c r="L42" i="5"/>
  <c r="L43" i="5"/>
  <c r="L44" i="5"/>
  <c r="L45" i="5"/>
  <c r="L46" i="5"/>
  <c r="P41" i="5"/>
  <c r="P42" i="5"/>
  <c r="P43" i="5"/>
  <c r="P44" i="5"/>
  <c r="P45" i="5"/>
  <c r="P46" i="5"/>
  <c r="T41" i="4"/>
  <c r="T42" i="4"/>
  <c r="T43" i="4"/>
  <c r="T44" i="4"/>
  <c r="T45" i="4"/>
  <c r="T46" i="4"/>
  <c r="P41" i="4"/>
  <c r="P42" i="4"/>
  <c r="P43" i="4"/>
  <c r="P44" i="4"/>
  <c r="P45" i="4"/>
  <c r="P46" i="4"/>
  <c r="L41" i="4"/>
  <c r="L42" i="4"/>
  <c r="L43" i="4"/>
  <c r="L44" i="4"/>
  <c r="L45" i="4"/>
  <c r="L46" i="4"/>
  <c r="P40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" i="3"/>
  <c r="P40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" i="2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" i="3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" i="2"/>
  <c r="P33" i="5"/>
  <c r="P13" i="5"/>
  <c r="P23" i="5"/>
  <c r="P24" i="5"/>
  <c r="P20" i="5"/>
  <c r="P6" i="5"/>
  <c r="P37" i="5"/>
  <c r="P38" i="5"/>
  <c r="P10" i="5"/>
  <c r="P5" i="5"/>
  <c r="P28" i="5"/>
  <c r="P14" i="5"/>
  <c r="P17" i="5"/>
  <c r="P25" i="5"/>
  <c r="P16" i="5"/>
  <c r="P39" i="5"/>
  <c r="P19" i="5"/>
  <c r="P11" i="5"/>
  <c r="P4" i="5"/>
  <c r="P22" i="5"/>
  <c r="P15" i="5"/>
  <c r="P27" i="5"/>
  <c r="P31" i="5"/>
  <c r="P8" i="5"/>
  <c r="P7" i="5"/>
  <c r="P12" i="5"/>
  <c r="P26" i="5"/>
  <c r="P30" i="5"/>
  <c r="P36" i="5"/>
  <c r="P35" i="5"/>
  <c r="P9" i="5"/>
  <c r="P34" i="5"/>
  <c r="P29" i="5"/>
  <c r="P40" i="5"/>
  <c r="P18" i="5"/>
  <c r="P32" i="5"/>
  <c r="P21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" i="5"/>
  <c r="T20" i="4"/>
  <c r="T19" i="4"/>
  <c r="T13" i="4"/>
  <c r="T23" i="4"/>
  <c r="T24" i="4"/>
  <c r="T10" i="4"/>
  <c r="T6" i="4"/>
  <c r="T14" i="4"/>
  <c r="T5" i="4"/>
  <c r="T17" i="4"/>
  <c r="T11" i="4"/>
  <c r="T38" i="4"/>
  <c r="T37" i="4"/>
  <c r="T8" i="4"/>
  <c r="T25" i="4"/>
  <c r="T15" i="4"/>
  <c r="T16" i="4"/>
  <c r="T39" i="4"/>
  <c r="T28" i="4"/>
  <c r="T4" i="4"/>
  <c r="T9" i="4"/>
  <c r="T12" i="4"/>
  <c r="T7" i="4"/>
  <c r="T22" i="4"/>
  <c r="T27" i="4"/>
  <c r="T31" i="4"/>
  <c r="T26" i="4"/>
  <c r="T36" i="4"/>
  <c r="T30" i="4"/>
  <c r="T34" i="4"/>
  <c r="T35" i="4"/>
  <c r="T29" i="4"/>
  <c r="T18" i="4"/>
  <c r="T40" i="4"/>
  <c r="T32" i="4"/>
  <c r="T33" i="4"/>
  <c r="T21" i="4"/>
  <c r="P20" i="4"/>
  <c r="P19" i="4"/>
  <c r="P13" i="4"/>
  <c r="P17" i="4"/>
  <c r="P5" i="4"/>
  <c r="P10" i="4"/>
  <c r="P11" i="4"/>
  <c r="P14" i="4"/>
  <c r="P8" i="4"/>
  <c r="P6" i="4"/>
  <c r="P7" i="4"/>
  <c r="P15" i="4"/>
  <c r="P12" i="4"/>
  <c r="P16" i="4"/>
  <c r="P9" i="4"/>
  <c r="P4" i="4"/>
  <c r="P18" i="4"/>
  <c r="P31" i="4"/>
  <c r="P30" i="4"/>
  <c r="P28" i="4"/>
  <c r="P39" i="4"/>
  <c r="P37" i="4"/>
  <c r="P38" i="4"/>
  <c r="P27" i="4"/>
  <c r="P24" i="4"/>
  <c r="P32" i="4"/>
  <c r="P23" i="4"/>
  <c r="P34" i="4"/>
  <c r="P40" i="4"/>
  <c r="P29" i="4"/>
  <c r="P25" i="4"/>
  <c r="P36" i="4"/>
  <c r="P26" i="4"/>
  <c r="P35" i="4"/>
  <c r="P22" i="4"/>
  <c r="P33" i="4"/>
  <c r="P21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" i="4"/>
</calcChain>
</file>

<file path=xl/sharedStrings.xml><?xml version="1.0" encoding="utf-8"?>
<sst xmlns="http://schemas.openxmlformats.org/spreadsheetml/2006/main" count="679" uniqueCount="40">
  <si>
    <t>model</t>
  </si>
  <si>
    <t>name</t>
  </si>
  <si>
    <t>epochs</t>
  </si>
  <si>
    <t>box</t>
  </si>
  <si>
    <t>Average Precision (point)</t>
  </si>
  <si>
    <t>FROC Score (point)</t>
  </si>
  <si>
    <t>basic_box</t>
  </si>
  <si>
    <t>patch_size</t>
  </si>
  <si>
    <t>img128_ep200_yolo11m</t>
  </si>
  <si>
    <t>notes</t>
  </si>
  <si>
    <t>default_aug</t>
  </si>
  <si>
    <t>img256_ep200_yolo11m</t>
  </si>
  <si>
    <t>img512_ep200_yolo11m</t>
  </si>
  <si>
    <t>M</t>
  </si>
  <si>
    <t>Average Precision (box)</t>
  </si>
  <si>
    <t>img128_ep100_yolo11m</t>
  </si>
  <si>
    <t>img128_ep300_yolo11m</t>
  </si>
  <si>
    <t>img256_ep100_yolo11m</t>
  </si>
  <si>
    <t>img256_ep300_yolo11m</t>
  </si>
  <si>
    <t>img512_ep100_yolo11m</t>
  </si>
  <si>
    <t>img512_ep200_yolo11l</t>
  </si>
  <si>
    <t>img512_ep200_yolo11s</t>
  </si>
  <si>
    <t>img512_ep200_yolo11x</t>
  </si>
  <si>
    <t>img512_ep300_yolo11m</t>
  </si>
  <si>
    <t>ihc</t>
  </si>
  <si>
    <t>L</t>
  </si>
  <si>
    <t>S</t>
  </si>
  <si>
    <t>X</t>
  </si>
  <si>
    <t>pure_box</t>
  </si>
  <si>
    <t>img640_ep200_yolo11m_p128</t>
  </si>
  <si>
    <t>img640_ep200_yolo11m_p512</t>
  </si>
  <si>
    <t>img640_ep200_yolo11m_p256</t>
  </si>
  <si>
    <t>padding5</t>
  </si>
  <si>
    <t>padding10</t>
  </si>
  <si>
    <t>resize</t>
  </si>
  <si>
    <t>seg_box</t>
  </si>
  <si>
    <t>nms0.7</t>
  </si>
  <si>
    <t>nms0.3</t>
  </si>
  <si>
    <t>nms0.1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</si>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</sst>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164" fontId="0" fillId="0" borderId="0" xfId="0" applyNumberFormat="1"/>
    <xf numFmtId="164" fontId="2" fillId="0" borderId="0" xfId="0" applyNumberFormat="1" applyFont="1"/>
    <xf numFmtId="164" fontId="2" fillId="0" borderId="2" xfId="0" applyNumberFormat="1" applyFont="1" applyBorder="1"/>
    <xf numFmtId="0" fontId="0" fillId="0" borderId="4" xfId="0" applyBorder="1"/>
    <xf numFmtId="164" fontId="0" fillId="0" borderId="4" xfId="0" applyNumberFormat="1" applyBorder="1"/>
    <xf numFmtId="0" fontId="0" fillId="0" borderId="2" xfId="0" applyBorder="1"/>
    <xf numFmtId="0" fontId="2" fillId="0" borderId="2" xfId="0" applyFont="1" applyBorder="1"/>
    <xf numFmtId="0" fontId="0" fillId="0" borderId="1" xfId="0" applyBorder="1"/>
    <xf numFmtId="0" fontId="0" fillId="0" borderId="3" xfId="0" applyBorder="1"/>
    <xf numFmtId="0" fontId="3" fillId="0" borderId="0" xfId="0" applyFont="1"/>
    <xf numFmtId="0" fontId="3" fillId="0" borderId="5" xfId="0" applyFont="1" applyBorder="1"/>
    <xf numFmtId="0" fontId="3" fillId="0" borderId="3" xfId="0" applyFont="1" applyBorder="1"/>
    <xf numFmtId="0" fontId="3" fillId="0" borderId="4" xfId="0" applyFont="1" applyBorder="1"/>
    <xf numFmtId="164" fontId="3" fillId="0" borderId="4" xfId="0" applyNumberFormat="1" applyFont="1" applyBorder="1"/>
    <xf numFmtId="164" fontId="3" fillId="0" borderId="5" xfId="0" applyNumberFormat="1" applyFont="1" applyBorder="1"/>
    <xf numFmtId="164" fontId="3" fillId="0" borderId="4" xfId="0" applyNumberFormat="1" applyFont="1" applyBorder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4" xfId="0" applyNumberFormat="1" applyBorder="1" applyAlignment="1">
      <alignment horizontal="left"/>
    </xf>
    <xf numFmtId="164" fontId="0" fillId="0" borderId="1" xfId="0" applyNumberFormat="1" applyBorder="1"/>
    <xf numFmtId="164" fontId="3" fillId="0" borderId="3" xfId="0" applyNumberFormat="1" applyFont="1" applyBorder="1"/>
    <xf numFmtId="164" fontId="2" fillId="0" borderId="0" xfId="0" applyNumberFormat="1" applyFont="1" applyAlignment="1">
      <alignment horizontal="left"/>
    </xf>
    <xf numFmtId="164" fontId="3" fillId="0" borderId="3" xfId="0" applyNumberFormat="1" applyFont="1" applyBorder="1" applyAlignment="1">
      <alignment horizontal="left"/>
    </xf>
    <xf numFmtId="164" fontId="0" fillId="0" borderId="1" xfId="0" applyNumberFormat="1" applyBorder="1" applyAlignment="1">
      <alignment horizontal="left"/>
    </xf>
    <xf numFmtId="164" fontId="3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C0FCE-89EB-4E8A-9A1B-0F9DA6253ADF}">
  <dimension ref="B2:T46"/>
  <sheetViews>
    <sheetView workbookViewId="0"/>
  </sheetViews>
  <sheetFormatPr defaultRowHeight="15" x14ac:dyDescent="0.25"/>
  <cols>
    <col min="2" max="2" width="4.28515625" customWidth="1"/>
    <col min="3" max="4" width="12.85546875" customWidth="1"/>
    <col min="5" max="5" width="27.140625" customWidth="1"/>
    <col min="6" max="8" width="12.85546875" customWidth="1"/>
    <col min="9" max="20" width="10.7109375" style="2" customWidth="1"/>
  </cols>
  <sheetData>
    <row r="2" spans="2:20" x14ac:dyDescent="0.25">
      <c r="B2" s="11"/>
      <c r="C2" s="11"/>
      <c r="D2" s="11"/>
      <c r="E2" s="11"/>
      <c r="F2" s="11"/>
      <c r="G2" s="11"/>
      <c r="H2" s="11"/>
      <c r="I2" s="25" t="s">
        <v>14</v>
      </c>
      <c r="J2" s="25"/>
      <c r="K2" s="25"/>
      <c r="L2" s="25"/>
      <c r="M2" s="25" t="s">
        <v>4</v>
      </c>
      <c r="N2" s="25"/>
      <c r="O2" s="25"/>
      <c r="P2" s="25"/>
      <c r="Q2" s="25" t="s">
        <v>5</v>
      </c>
      <c r="R2" s="25"/>
      <c r="S2" s="25"/>
      <c r="T2" s="25"/>
    </row>
    <row r="3" spans="2:20" ht="15.75" thickBot="1" x14ac:dyDescent="0.3">
      <c r="B3" s="12"/>
      <c r="C3" s="13" t="s">
        <v>3</v>
      </c>
      <c r="D3" s="14" t="s">
        <v>9</v>
      </c>
      <c r="E3" s="14" t="s">
        <v>1</v>
      </c>
      <c r="F3" s="14" t="s">
        <v>7</v>
      </c>
      <c r="G3" s="14" t="s">
        <v>2</v>
      </c>
      <c r="H3" s="12" t="s">
        <v>0</v>
      </c>
      <c r="I3" s="15" t="s">
        <v>36</v>
      </c>
      <c r="J3" s="15" t="s">
        <v>37</v>
      </c>
      <c r="K3" s="15" t="s">
        <v>38</v>
      </c>
      <c r="L3" s="16" t="s">
        <v>39</v>
      </c>
      <c r="M3" s="15" t="s">
        <v>36</v>
      </c>
      <c r="N3" s="15" t="s">
        <v>37</v>
      </c>
      <c r="O3" s="15" t="s">
        <v>38</v>
      </c>
      <c r="P3" s="16" t="s">
        <v>39</v>
      </c>
      <c r="Q3" s="15" t="s">
        <v>36</v>
      </c>
      <c r="R3" s="15" t="s">
        <v>37</v>
      </c>
      <c r="S3" s="15" t="s">
        <v>38</v>
      </c>
      <c r="T3" s="17" t="s">
        <v>39</v>
      </c>
    </row>
    <row r="4" spans="2:20" x14ac:dyDescent="0.25">
      <c r="B4" s="8">
        <v>1</v>
      </c>
      <c r="C4" t="s">
        <v>6</v>
      </c>
      <c r="D4" t="s">
        <v>10</v>
      </c>
      <c r="E4" t="s">
        <v>8</v>
      </c>
      <c r="F4">
        <v>128</v>
      </c>
      <c r="G4">
        <v>200</v>
      </c>
      <c r="H4" s="7" t="s">
        <v>13</v>
      </c>
      <c r="I4" s="2">
        <v>0.73299999999999998</v>
      </c>
      <c r="J4" s="2">
        <v>0.68100000000000005</v>
      </c>
      <c r="K4" s="2">
        <v>0.58499999999999996</v>
      </c>
      <c r="L4" s="4">
        <f t="shared" ref="L4:L46" si="0">MAX(I4:K4)</f>
        <v>0.73299999999999998</v>
      </c>
      <c r="M4" s="2">
        <v>0.66700000000000004</v>
      </c>
      <c r="N4" s="2">
        <v>0.69099999999999995</v>
      </c>
      <c r="O4" s="2">
        <v>0.59299999999999997</v>
      </c>
      <c r="P4" s="4">
        <f t="shared" ref="P4:P46" si="1">MAX(M4:O4)</f>
        <v>0.69099999999999995</v>
      </c>
      <c r="Q4" s="2">
        <v>0.312</v>
      </c>
      <c r="R4" s="2">
        <v>0.376</v>
      </c>
      <c r="S4" s="2">
        <v>0.34300000000000003</v>
      </c>
      <c r="T4" s="3">
        <f t="shared" ref="T4:T46" si="2">MAX(Q4:S4)</f>
        <v>0.376</v>
      </c>
    </row>
    <row r="5" spans="2:20" x14ac:dyDescent="0.25">
      <c r="B5" s="8">
        <v>2</v>
      </c>
      <c r="C5" t="s">
        <v>6</v>
      </c>
      <c r="D5" t="s">
        <v>10</v>
      </c>
      <c r="E5" t="s">
        <v>11</v>
      </c>
      <c r="F5">
        <v>256</v>
      </c>
      <c r="G5">
        <v>200</v>
      </c>
      <c r="H5" s="7" t="s">
        <v>13</v>
      </c>
      <c r="I5" s="2">
        <v>0.77100000000000002</v>
      </c>
      <c r="J5" s="2">
        <v>0.72099999999999997</v>
      </c>
      <c r="K5" s="2">
        <v>0.60599999999999998</v>
      </c>
      <c r="L5" s="4">
        <f t="shared" si="0"/>
        <v>0.77100000000000002</v>
      </c>
      <c r="M5" s="2">
        <v>0.67200000000000004</v>
      </c>
      <c r="N5" s="2">
        <v>0.71399999999999997</v>
      </c>
      <c r="O5" s="2">
        <v>0.60499999999999998</v>
      </c>
      <c r="P5" s="4">
        <f t="shared" si="1"/>
        <v>0.71399999999999997</v>
      </c>
      <c r="Q5" s="2">
        <v>0.33400000000000002</v>
      </c>
      <c r="R5" s="2">
        <v>0.41199999999999998</v>
      </c>
      <c r="S5" s="2">
        <v>0.37</v>
      </c>
      <c r="T5" s="3">
        <f t="shared" si="2"/>
        <v>0.41199999999999998</v>
      </c>
    </row>
    <row r="6" spans="2:20" x14ac:dyDescent="0.25">
      <c r="B6" s="8">
        <v>3</v>
      </c>
      <c r="C6" t="s">
        <v>6</v>
      </c>
      <c r="D6" t="s">
        <v>10</v>
      </c>
      <c r="E6" t="s">
        <v>12</v>
      </c>
      <c r="F6">
        <v>512</v>
      </c>
      <c r="G6">
        <v>200</v>
      </c>
      <c r="H6" s="7" t="s">
        <v>13</v>
      </c>
      <c r="I6" s="2">
        <v>0.745</v>
      </c>
      <c r="J6" s="2">
        <v>0.69299999999999995</v>
      </c>
      <c r="K6" s="2">
        <v>0.57099999999999995</v>
      </c>
      <c r="L6" s="4">
        <f t="shared" si="0"/>
        <v>0.745</v>
      </c>
      <c r="M6" s="2">
        <v>0.65400000000000003</v>
      </c>
      <c r="N6" s="2">
        <v>0.70699999999999996</v>
      </c>
      <c r="O6" s="2">
        <v>0.59199999999999997</v>
      </c>
      <c r="P6" s="4">
        <f t="shared" si="1"/>
        <v>0.70699999999999996</v>
      </c>
      <c r="Q6" s="2">
        <v>0.32</v>
      </c>
      <c r="R6" s="2">
        <v>0.40899999999999997</v>
      </c>
      <c r="S6" s="2">
        <v>0.35599999999999998</v>
      </c>
      <c r="T6" s="3">
        <f t="shared" si="2"/>
        <v>0.40899999999999997</v>
      </c>
    </row>
    <row r="7" spans="2:20" x14ac:dyDescent="0.25">
      <c r="B7" s="8">
        <v>4</v>
      </c>
      <c r="C7" t="s">
        <v>6</v>
      </c>
      <c r="E7" t="s">
        <v>15</v>
      </c>
      <c r="F7">
        <v>128</v>
      </c>
      <c r="G7">
        <v>100</v>
      </c>
      <c r="H7" s="7" t="s">
        <v>13</v>
      </c>
      <c r="I7" s="2">
        <v>0.746</v>
      </c>
      <c r="J7" s="2">
        <v>0.67900000000000005</v>
      </c>
      <c r="K7" s="2">
        <v>0.57299999999999995</v>
      </c>
      <c r="L7" s="4">
        <f t="shared" si="0"/>
        <v>0.746</v>
      </c>
      <c r="M7" s="2">
        <v>0.66600000000000004</v>
      </c>
      <c r="N7" s="2">
        <v>0.67700000000000005</v>
      </c>
      <c r="O7" s="2">
        <v>0.57899999999999996</v>
      </c>
      <c r="P7" s="4">
        <f t="shared" si="1"/>
        <v>0.67700000000000005</v>
      </c>
      <c r="Q7" s="2">
        <v>0.32</v>
      </c>
      <c r="R7" s="2">
        <v>0.373</v>
      </c>
      <c r="S7" s="2">
        <v>0.33800000000000002</v>
      </c>
      <c r="T7" s="3">
        <f t="shared" si="2"/>
        <v>0.373</v>
      </c>
    </row>
    <row r="8" spans="2:20" x14ac:dyDescent="0.25">
      <c r="B8" s="8">
        <v>5</v>
      </c>
      <c r="C8" t="s">
        <v>6</v>
      </c>
      <c r="E8" t="s">
        <v>8</v>
      </c>
      <c r="F8">
        <v>128</v>
      </c>
      <c r="G8">
        <v>200</v>
      </c>
      <c r="H8" s="7" t="s">
        <v>13</v>
      </c>
      <c r="I8" s="2">
        <v>0.752</v>
      </c>
      <c r="J8" s="2">
        <v>0.68600000000000005</v>
      </c>
      <c r="K8" s="2">
        <v>0.57399999999999995</v>
      </c>
      <c r="L8" s="4">
        <f t="shared" si="0"/>
        <v>0.752</v>
      </c>
      <c r="M8" s="2">
        <v>0.65700000000000003</v>
      </c>
      <c r="N8" s="2">
        <v>0.69099999999999995</v>
      </c>
      <c r="O8" s="2">
        <v>0.58499999999999996</v>
      </c>
      <c r="P8" s="4">
        <f t="shared" si="1"/>
        <v>0.69099999999999995</v>
      </c>
      <c r="Q8" s="2">
        <v>0.311</v>
      </c>
      <c r="R8" s="2">
        <v>0.38400000000000001</v>
      </c>
      <c r="S8" s="2">
        <v>0.34599999999999997</v>
      </c>
      <c r="T8" s="3">
        <f t="shared" si="2"/>
        <v>0.38400000000000001</v>
      </c>
    </row>
    <row r="9" spans="2:20" x14ac:dyDescent="0.25">
      <c r="B9" s="8">
        <v>6</v>
      </c>
      <c r="C9" t="s">
        <v>6</v>
      </c>
      <c r="E9" t="s">
        <v>16</v>
      </c>
      <c r="F9">
        <v>128</v>
      </c>
      <c r="G9">
        <v>300</v>
      </c>
      <c r="H9" s="7" t="s">
        <v>13</v>
      </c>
      <c r="I9" s="2">
        <v>0.73899999999999999</v>
      </c>
      <c r="J9" s="2">
        <v>0.67400000000000004</v>
      </c>
      <c r="K9" s="2">
        <v>0.56399999999999995</v>
      </c>
      <c r="L9" s="4">
        <f t="shared" si="0"/>
        <v>0.73899999999999999</v>
      </c>
      <c r="M9" s="2">
        <v>0.63800000000000001</v>
      </c>
      <c r="N9" s="2">
        <v>0.68200000000000005</v>
      </c>
      <c r="O9" s="2">
        <v>0.57499999999999996</v>
      </c>
      <c r="P9" s="4">
        <f t="shared" si="1"/>
        <v>0.68200000000000005</v>
      </c>
      <c r="Q9" s="2">
        <v>0.29599999999999999</v>
      </c>
      <c r="R9" s="2">
        <v>0.371</v>
      </c>
      <c r="S9" s="2">
        <v>0.33500000000000002</v>
      </c>
      <c r="T9" s="3">
        <f t="shared" si="2"/>
        <v>0.371</v>
      </c>
    </row>
    <row r="10" spans="2:20" x14ac:dyDescent="0.25">
      <c r="B10" s="8">
        <v>7</v>
      </c>
      <c r="C10" t="s">
        <v>6</v>
      </c>
      <c r="E10" t="s">
        <v>17</v>
      </c>
      <c r="F10">
        <v>256</v>
      </c>
      <c r="G10">
        <v>100</v>
      </c>
      <c r="H10" s="7" t="s">
        <v>13</v>
      </c>
      <c r="I10" s="2">
        <v>0.76900000000000002</v>
      </c>
      <c r="J10" s="2">
        <v>0.71199999999999997</v>
      </c>
      <c r="K10" s="2">
        <v>0.58499999999999996</v>
      </c>
      <c r="L10" s="4">
        <f t="shared" si="0"/>
        <v>0.76900000000000002</v>
      </c>
      <c r="M10" s="2">
        <v>0.66700000000000004</v>
      </c>
      <c r="N10" s="2">
        <v>0.71199999999999997</v>
      </c>
      <c r="O10" s="2">
        <v>0.59099999999999997</v>
      </c>
      <c r="P10" s="4">
        <f t="shared" si="1"/>
        <v>0.71199999999999997</v>
      </c>
      <c r="Q10" s="2">
        <v>0.32700000000000001</v>
      </c>
      <c r="R10" s="2">
        <v>0.40899999999999997</v>
      </c>
      <c r="S10" s="2">
        <v>0.36399999999999999</v>
      </c>
      <c r="T10" s="3">
        <f t="shared" si="2"/>
        <v>0.40899999999999997</v>
      </c>
    </row>
    <row r="11" spans="2:20" x14ac:dyDescent="0.25">
      <c r="B11" s="8">
        <v>8</v>
      </c>
      <c r="C11" t="s">
        <v>6</v>
      </c>
      <c r="E11" t="s">
        <v>11</v>
      </c>
      <c r="F11">
        <v>256</v>
      </c>
      <c r="G11">
        <v>200</v>
      </c>
      <c r="H11" s="7" t="s">
        <v>13</v>
      </c>
      <c r="I11" s="2">
        <v>0.76600000000000001</v>
      </c>
      <c r="J11" s="2">
        <v>0.71</v>
      </c>
      <c r="K11" s="2">
        <v>0.58399999999999996</v>
      </c>
      <c r="L11" s="4">
        <f t="shared" si="0"/>
        <v>0.76600000000000001</v>
      </c>
      <c r="M11" s="2">
        <v>0.66300000000000003</v>
      </c>
      <c r="N11" s="2">
        <v>0.69699999999999995</v>
      </c>
      <c r="O11" s="2">
        <v>0.57599999999999996</v>
      </c>
      <c r="P11" s="4">
        <f t="shared" si="1"/>
        <v>0.69699999999999995</v>
      </c>
      <c r="Q11" s="2">
        <v>0.32800000000000001</v>
      </c>
      <c r="R11" s="2">
        <v>0.4</v>
      </c>
      <c r="S11" s="2">
        <v>0.34899999999999998</v>
      </c>
      <c r="T11" s="3">
        <f t="shared" si="2"/>
        <v>0.4</v>
      </c>
    </row>
    <row r="12" spans="2:20" x14ac:dyDescent="0.25">
      <c r="B12" s="8">
        <v>9</v>
      </c>
      <c r="C12" t="s">
        <v>6</v>
      </c>
      <c r="E12" t="s">
        <v>18</v>
      </c>
      <c r="F12">
        <v>256</v>
      </c>
      <c r="G12">
        <v>300</v>
      </c>
      <c r="H12" s="7" t="s">
        <v>13</v>
      </c>
      <c r="I12" s="2">
        <v>0.74299999999999999</v>
      </c>
      <c r="J12" s="2">
        <v>0.69899999999999995</v>
      </c>
      <c r="K12" s="2">
        <v>0.58199999999999996</v>
      </c>
      <c r="L12" s="4">
        <f t="shared" si="0"/>
        <v>0.74299999999999999</v>
      </c>
      <c r="M12" s="2">
        <v>0.66</v>
      </c>
      <c r="N12" s="2">
        <v>0.68200000000000005</v>
      </c>
      <c r="O12" s="2">
        <v>0.56499999999999995</v>
      </c>
      <c r="P12" s="4">
        <f t="shared" si="1"/>
        <v>0.68200000000000005</v>
      </c>
      <c r="Q12" s="2">
        <v>0.33200000000000002</v>
      </c>
      <c r="R12" s="2">
        <v>0.379</v>
      </c>
      <c r="S12" s="2">
        <v>0.32900000000000001</v>
      </c>
      <c r="T12" s="3">
        <f t="shared" si="2"/>
        <v>0.379</v>
      </c>
    </row>
    <row r="13" spans="2:20" x14ac:dyDescent="0.25">
      <c r="B13" s="8">
        <v>10</v>
      </c>
      <c r="C13" t="s">
        <v>6</v>
      </c>
      <c r="E13" t="s">
        <v>19</v>
      </c>
      <c r="F13">
        <v>512</v>
      </c>
      <c r="G13">
        <v>100</v>
      </c>
      <c r="H13" s="7" t="s">
        <v>13</v>
      </c>
      <c r="I13" s="2">
        <v>0.78500000000000003</v>
      </c>
      <c r="J13" s="2">
        <v>0.73199999999999998</v>
      </c>
      <c r="K13" s="2">
        <v>0.59899999999999998</v>
      </c>
      <c r="L13" s="4">
        <f t="shared" si="0"/>
        <v>0.78500000000000003</v>
      </c>
      <c r="M13" s="2">
        <v>0.70699999999999996</v>
      </c>
      <c r="N13" s="2">
        <v>0.73399999999999999</v>
      </c>
      <c r="O13" s="2">
        <v>0.60899999999999999</v>
      </c>
      <c r="P13" s="4">
        <f t="shared" si="1"/>
        <v>0.73399999999999999</v>
      </c>
      <c r="Q13" s="2">
        <v>0.373</v>
      </c>
      <c r="R13" s="2">
        <v>0.442</v>
      </c>
      <c r="S13" s="2">
        <v>0.38200000000000001</v>
      </c>
      <c r="T13" s="3">
        <f t="shared" si="2"/>
        <v>0.442</v>
      </c>
    </row>
    <row r="14" spans="2:20" x14ac:dyDescent="0.25">
      <c r="B14" s="8">
        <v>11</v>
      </c>
      <c r="C14" t="s">
        <v>6</v>
      </c>
      <c r="E14" t="s">
        <v>20</v>
      </c>
      <c r="F14">
        <v>512</v>
      </c>
      <c r="G14">
        <v>200</v>
      </c>
      <c r="H14" s="7" t="s">
        <v>25</v>
      </c>
      <c r="I14" s="2">
        <v>0.755</v>
      </c>
      <c r="J14" s="2">
        <v>0.70699999999999996</v>
      </c>
      <c r="K14" s="2">
        <v>0.56599999999999995</v>
      </c>
      <c r="L14" s="4">
        <f t="shared" si="0"/>
        <v>0.755</v>
      </c>
      <c r="M14" s="2">
        <v>0.66200000000000003</v>
      </c>
      <c r="N14" s="2">
        <v>0.71199999999999997</v>
      </c>
      <c r="O14" s="2">
        <v>0.57399999999999995</v>
      </c>
      <c r="P14" s="4">
        <f t="shared" si="1"/>
        <v>0.71199999999999997</v>
      </c>
      <c r="Q14" s="2">
        <v>0.32500000000000001</v>
      </c>
      <c r="R14" s="2">
        <v>0.40200000000000002</v>
      </c>
      <c r="S14" s="2">
        <v>0.34</v>
      </c>
      <c r="T14" s="3">
        <f t="shared" si="2"/>
        <v>0.40200000000000002</v>
      </c>
    </row>
    <row r="15" spans="2:20" x14ac:dyDescent="0.25">
      <c r="B15" s="8">
        <v>12</v>
      </c>
      <c r="C15" t="s">
        <v>6</v>
      </c>
      <c r="E15" t="s">
        <v>12</v>
      </c>
      <c r="F15">
        <v>512</v>
      </c>
      <c r="G15">
        <v>200</v>
      </c>
      <c r="H15" s="7" t="s">
        <v>13</v>
      </c>
      <c r="I15" s="2">
        <v>0.74199999999999999</v>
      </c>
      <c r="J15" s="2">
        <v>0.69599999999999995</v>
      </c>
      <c r="K15" s="2">
        <v>0.55700000000000005</v>
      </c>
      <c r="L15" s="4">
        <f t="shared" si="0"/>
        <v>0.74199999999999999</v>
      </c>
      <c r="M15" s="2">
        <v>0.66200000000000003</v>
      </c>
      <c r="N15" s="2">
        <v>0.7</v>
      </c>
      <c r="O15" s="2">
        <v>0.56200000000000006</v>
      </c>
      <c r="P15" s="4">
        <f t="shared" si="1"/>
        <v>0.7</v>
      </c>
      <c r="Q15" s="2">
        <v>0.32500000000000001</v>
      </c>
      <c r="R15" s="2">
        <v>0.39100000000000001</v>
      </c>
      <c r="S15" s="2">
        <v>0.32800000000000001</v>
      </c>
      <c r="T15" s="3">
        <f t="shared" si="2"/>
        <v>0.39100000000000001</v>
      </c>
    </row>
    <row r="16" spans="2:20" x14ac:dyDescent="0.25">
      <c r="B16" s="8">
        <v>13</v>
      </c>
      <c r="C16" t="s">
        <v>6</v>
      </c>
      <c r="E16" t="s">
        <v>21</v>
      </c>
      <c r="F16">
        <v>512</v>
      </c>
      <c r="G16">
        <v>200</v>
      </c>
      <c r="H16" s="7" t="s">
        <v>26</v>
      </c>
      <c r="I16" s="2">
        <v>0.73799999999999999</v>
      </c>
      <c r="J16" s="2">
        <v>0.69799999999999995</v>
      </c>
      <c r="K16" s="2">
        <v>0.56899999999999995</v>
      </c>
      <c r="L16" s="4">
        <f t="shared" si="0"/>
        <v>0.73799999999999999</v>
      </c>
      <c r="M16" s="2">
        <v>0.66500000000000004</v>
      </c>
      <c r="N16" s="2">
        <v>0.69899999999999995</v>
      </c>
      <c r="O16" s="2">
        <v>0.56999999999999995</v>
      </c>
      <c r="P16" s="4">
        <f t="shared" si="1"/>
        <v>0.69899999999999995</v>
      </c>
      <c r="Q16" s="2">
        <v>0.33300000000000002</v>
      </c>
      <c r="R16" s="2">
        <v>0.39100000000000001</v>
      </c>
      <c r="S16" s="2">
        <v>0.33</v>
      </c>
      <c r="T16" s="3">
        <f t="shared" si="2"/>
        <v>0.39100000000000001</v>
      </c>
    </row>
    <row r="17" spans="2:20" x14ac:dyDescent="0.25">
      <c r="B17" s="8">
        <v>14</v>
      </c>
      <c r="C17" t="s">
        <v>6</v>
      </c>
      <c r="E17" t="s">
        <v>22</v>
      </c>
      <c r="F17">
        <v>512</v>
      </c>
      <c r="G17">
        <v>200</v>
      </c>
      <c r="H17" s="7" t="s">
        <v>27</v>
      </c>
      <c r="I17" s="2">
        <v>0.76400000000000001</v>
      </c>
      <c r="J17" s="2">
        <v>0.71299999999999997</v>
      </c>
      <c r="K17" s="2">
        <v>0.57799999999999996</v>
      </c>
      <c r="L17" s="4">
        <f t="shared" si="0"/>
        <v>0.76400000000000001</v>
      </c>
      <c r="M17" s="2">
        <v>0.69699999999999995</v>
      </c>
      <c r="N17" s="2">
        <v>0.70199999999999996</v>
      </c>
      <c r="O17" s="2">
        <v>0.55700000000000005</v>
      </c>
      <c r="P17" s="4">
        <f t="shared" si="1"/>
        <v>0.70199999999999996</v>
      </c>
      <c r="Q17" s="2">
        <v>0.35899999999999999</v>
      </c>
      <c r="R17" s="2">
        <v>0.41099999999999998</v>
      </c>
      <c r="S17" s="2">
        <v>0.34399999999999997</v>
      </c>
      <c r="T17" s="3">
        <f t="shared" si="2"/>
        <v>0.41099999999999998</v>
      </c>
    </row>
    <row r="18" spans="2:20" x14ac:dyDescent="0.25">
      <c r="B18" s="8">
        <v>15</v>
      </c>
      <c r="C18" t="s">
        <v>6</v>
      </c>
      <c r="E18" t="s">
        <v>23</v>
      </c>
      <c r="F18">
        <v>512</v>
      </c>
      <c r="G18">
        <v>300</v>
      </c>
      <c r="H18" s="7" t="s">
        <v>13</v>
      </c>
      <c r="I18" s="2">
        <v>0.69499999999999995</v>
      </c>
      <c r="J18" s="2">
        <v>0.65800000000000003</v>
      </c>
      <c r="K18" s="2">
        <v>0.51900000000000002</v>
      </c>
      <c r="L18" s="4">
        <f t="shared" si="0"/>
        <v>0.69499999999999995</v>
      </c>
      <c r="M18" s="2">
        <v>0.61599999999999999</v>
      </c>
      <c r="N18" s="2">
        <v>0.65800000000000003</v>
      </c>
      <c r="O18" s="2">
        <v>0.52</v>
      </c>
      <c r="P18" s="4">
        <f t="shared" si="1"/>
        <v>0.65800000000000003</v>
      </c>
      <c r="Q18" s="2">
        <v>0.28599999999999998</v>
      </c>
      <c r="R18" s="2">
        <v>0.33400000000000002</v>
      </c>
      <c r="S18" s="2">
        <v>0.28399999999999997</v>
      </c>
      <c r="T18" s="3">
        <f t="shared" si="2"/>
        <v>0.33400000000000002</v>
      </c>
    </row>
    <row r="19" spans="2:20" x14ac:dyDescent="0.25">
      <c r="B19" s="8">
        <v>16</v>
      </c>
      <c r="C19" t="s">
        <v>6</v>
      </c>
      <c r="D19" t="s">
        <v>24</v>
      </c>
      <c r="E19" t="s">
        <v>8</v>
      </c>
      <c r="F19">
        <v>128</v>
      </c>
      <c r="G19">
        <v>200</v>
      </c>
      <c r="H19" s="7" t="s">
        <v>13</v>
      </c>
      <c r="I19" s="2">
        <v>0.68</v>
      </c>
      <c r="J19" s="2">
        <v>0.69299999999999995</v>
      </c>
      <c r="K19" s="2">
        <v>0.54100000000000004</v>
      </c>
      <c r="L19" s="4">
        <f t="shared" si="0"/>
        <v>0.69299999999999995</v>
      </c>
      <c r="M19" s="2">
        <v>0.30199999999999999</v>
      </c>
      <c r="N19" s="2">
        <v>0.72299999999999998</v>
      </c>
      <c r="O19" s="2">
        <v>0.61799999999999999</v>
      </c>
      <c r="P19" s="4">
        <f t="shared" si="1"/>
        <v>0.72299999999999998</v>
      </c>
      <c r="Q19" s="2">
        <v>0.115</v>
      </c>
      <c r="R19" s="2">
        <v>0.36599999999999999</v>
      </c>
      <c r="S19" s="2">
        <v>0.34200000000000003</v>
      </c>
      <c r="T19" s="3">
        <f t="shared" si="2"/>
        <v>0.36599999999999999</v>
      </c>
    </row>
    <row r="20" spans="2:20" x14ac:dyDescent="0.25">
      <c r="B20" s="8">
        <v>17</v>
      </c>
      <c r="C20" t="s">
        <v>6</v>
      </c>
      <c r="D20" t="s">
        <v>24</v>
      </c>
      <c r="E20" t="s">
        <v>11</v>
      </c>
      <c r="F20">
        <v>256</v>
      </c>
      <c r="G20">
        <v>200</v>
      </c>
      <c r="H20" s="7" t="s">
        <v>13</v>
      </c>
      <c r="I20" s="2">
        <v>0.65900000000000003</v>
      </c>
      <c r="J20" s="2">
        <v>0.68100000000000005</v>
      </c>
      <c r="K20" s="2">
        <v>0.53700000000000003</v>
      </c>
      <c r="L20" s="4">
        <f t="shared" si="0"/>
        <v>0.68100000000000005</v>
      </c>
      <c r="M20" s="2">
        <v>0.30399999999999999</v>
      </c>
      <c r="N20" s="2">
        <v>0.73499999999999999</v>
      </c>
      <c r="O20" s="2">
        <v>0.628</v>
      </c>
      <c r="P20" s="4">
        <f t="shared" si="1"/>
        <v>0.73499999999999999</v>
      </c>
      <c r="Q20" s="2">
        <v>0.122</v>
      </c>
      <c r="R20" s="2">
        <v>0.376</v>
      </c>
      <c r="S20" s="2">
        <v>0.35199999999999998</v>
      </c>
      <c r="T20" s="3">
        <f t="shared" si="2"/>
        <v>0.376</v>
      </c>
    </row>
    <row r="21" spans="2:20" x14ac:dyDescent="0.25">
      <c r="B21" s="8">
        <v>18</v>
      </c>
      <c r="C21" t="s">
        <v>6</v>
      </c>
      <c r="D21" t="s">
        <v>24</v>
      </c>
      <c r="E21" t="s">
        <v>12</v>
      </c>
      <c r="F21">
        <v>512</v>
      </c>
      <c r="G21">
        <v>200</v>
      </c>
      <c r="H21" s="7" t="s">
        <v>13</v>
      </c>
      <c r="I21" s="2">
        <v>0.67400000000000004</v>
      </c>
      <c r="J21" s="2">
        <v>0.68600000000000005</v>
      </c>
      <c r="K21" s="2">
        <v>0.54200000000000004</v>
      </c>
      <c r="L21" s="4">
        <f t="shared" si="0"/>
        <v>0.68600000000000005</v>
      </c>
      <c r="M21" s="2">
        <v>0.314</v>
      </c>
      <c r="N21" s="2">
        <v>0.77400000000000002</v>
      </c>
      <c r="O21" s="2">
        <v>0.64800000000000002</v>
      </c>
      <c r="P21" s="4">
        <f t="shared" si="1"/>
        <v>0.77400000000000002</v>
      </c>
      <c r="Q21" s="2">
        <v>0.14000000000000001</v>
      </c>
      <c r="R21" s="2">
        <v>0.45500000000000002</v>
      </c>
      <c r="S21" s="2">
        <v>0.40699999999999997</v>
      </c>
      <c r="T21" s="3">
        <f t="shared" si="2"/>
        <v>0.45500000000000002</v>
      </c>
    </row>
    <row r="22" spans="2:20" x14ac:dyDescent="0.25">
      <c r="B22" s="8">
        <v>19</v>
      </c>
      <c r="C22" t="s">
        <v>28</v>
      </c>
      <c r="E22" t="s">
        <v>8</v>
      </c>
      <c r="F22">
        <v>128</v>
      </c>
      <c r="G22">
        <v>200</v>
      </c>
      <c r="H22" s="7" t="s">
        <v>13</v>
      </c>
      <c r="I22" s="2">
        <v>0.57599999999999996</v>
      </c>
      <c r="J22" s="2">
        <v>0.58299999999999996</v>
      </c>
      <c r="K22" s="2">
        <v>0.58299999999999996</v>
      </c>
      <c r="L22" s="4">
        <f t="shared" si="0"/>
        <v>0.58299999999999996</v>
      </c>
      <c r="M22" s="2">
        <v>0.61899999999999999</v>
      </c>
      <c r="N22" s="2">
        <v>0.67400000000000004</v>
      </c>
      <c r="O22" s="2">
        <v>0.68</v>
      </c>
      <c r="P22" s="4">
        <f t="shared" si="1"/>
        <v>0.68</v>
      </c>
      <c r="Q22" s="2">
        <v>0.30099999999999999</v>
      </c>
      <c r="R22" s="2">
        <v>0.33200000000000002</v>
      </c>
      <c r="S22" s="2">
        <v>0.33500000000000002</v>
      </c>
      <c r="T22" s="3">
        <f t="shared" si="2"/>
        <v>0.33500000000000002</v>
      </c>
    </row>
    <row r="23" spans="2:20" x14ac:dyDescent="0.25">
      <c r="B23" s="8">
        <v>20</v>
      </c>
      <c r="C23" t="s">
        <v>28</v>
      </c>
      <c r="E23" t="s">
        <v>17</v>
      </c>
      <c r="F23">
        <v>256</v>
      </c>
      <c r="G23">
        <v>100</v>
      </c>
      <c r="H23" s="7" t="s">
        <v>13</v>
      </c>
      <c r="I23" s="2">
        <v>0.63800000000000001</v>
      </c>
      <c r="J23" s="2">
        <v>0.64100000000000001</v>
      </c>
      <c r="K23" s="2">
        <v>0.64</v>
      </c>
      <c r="L23" s="4">
        <f t="shared" si="0"/>
        <v>0.64100000000000001</v>
      </c>
      <c r="M23" s="2">
        <v>0.65200000000000002</v>
      </c>
      <c r="N23" s="2">
        <v>0.70599999999999996</v>
      </c>
      <c r="O23" s="2">
        <v>0.71099999999999997</v>
      </c>
      <c r="P23" s="4">
        <f t="shared" si="1"/>
        <v>0.71099999999999997</v>
      </c>
      <c r="Q23" s="2">
        <v>0.32400000000000001</v>
      </c>
      <c r="R23" s="2">
        <v>0.36399999999999999</v>
      </c>
      <c r="S23" s="2">
        <v>0.371</v>
      </c>
      <c r="T23" s="3">
        <f t="shared" si="2"/>
        <v>0.371</v>
      </c>
    </row>
    <row r="24" spans="2:20" x14ac:dyDescent="0.25">
      <c r="B24" s="8">
        <v>21</v>
      </c>
      <c r="C24" t="s">
        <v>28</v>
      </c>
      <c r="E24" t="s">
        <v>11</v>
      </c>
      <c r="F24">
        <v>256</v>
      </c>
      <c r="G24">
        <v>200</v>
      </c>
      <c r="H24" s="7" t="s">
        <v>13</v>
      </c>
      <c r="I24" s="2">
        <v>0.63800000000000001</v>
      </c>
      <c r="J24" s="2">
        <v>0.64200000000000002</v>
      </c>
      <c r="K24" s="2">
        <v>0.64100000000000001</v>
      </c>
      <c r="L24" s="4">
        <f t="shared" si="0"/>
        <v>0.64200000000000002</v>
      </c>
      <c r="M24" s="2">
        <v>0.65700000000000003</v>
      </c>
      <c r="N24" s="2">
        <v>0.70599999999999996</v>
      </c>
      <c r="O24" s="2">
        <v>0.70799999999999996</v>
      </c>
      <c r="P24" s="4">
        <f t="shared" si="1"/>
        <v>0.70799999999999996</v>
      </c>
      <c r="Q24" s="2">
        <v>0.32900000000000001</v>
      </c>
      <c r="R24" s="2">
        <v>0.36799999999999999</v>
      </c>
      <c r="S24" s="2">
        <v>0.373</v>
      </c>
      <c r="T24" s="3">
        <f t="shared" si="2"/>
        <v>0.373</v>
      </c>
    </row>
    <row r="25" spans="2:20" x14ac:dyDescent="0.25">
      <c r="B25" s="8">
        <v>22</v>
      </c>
      <c r="C25" t="s">
        <v>28</v>
      </c>
      <c r="E25" t="s">
        <v>19</v>
      </c>
      <c r="F25">
        <v>512</v>
      </c>
      <c r="G25">
        <v>100</v>
      </c>
      <c r="H25" s="7" t="s">
        <v>13</v>
      </c>
      <c r="I25" s="2">
        <v>0.55900000000000005</v>
      </c>
      <c r="J25" s="2">
        <v>0.56899999999999995</v>
      </c>
      <c r="K25" s="2">
        <v>0.56999999999999995</v>
      </c>
      <c r="L25" s="4">
        <f t="shared" si="0"/>
        <v>0.56999999999999995</v>
      </c>
      <c r="M25" s="2">
        <v>0.61</v>
      </c>
      <c r="N25" s="2">
        <v>0.67100000000000004</v>
      </c>
      <c r="O25" s="2">
        <v>0.67600000000000005</v>
      </c>
      <c r="P25" s="4">
        <f t="shared" si="1"/>
        <v>0.67600000000000005</v>
      </c>
      <c r="Q25" s="2">
        <v>0.313</v>
      </c>
      <c r="R25" s="2">
        <v>0.35199999999999998</v>
      </c>
      <c r="S25" s="2">
        <v>0.35799999999999998</v>
      </c>
      <c r="T25" s="3">
        <f t="shared" si="2"/>
        <v>0.35799999999999998</v>
      </c>
    </row>
    <row r="26" spans="2:20" x14ac:dyDescent="0.25">
      <c r="B26" s="8">
        <v>23</v>
      </c>
      <c r="C26" t="s">
        <v>28</v>
      </c>
      <c r="E26" t="s">
        <v>12</v>
      </c>
      <c r="F26">
        <v>512</v>
      </c>
      <c r="G26">
        <v>200</v>
      </c>
      <c r="H26" s="7" t="s">
        <v>13</v>
      </c>
      <c r="I26" s="2">
        <v>0.53300000000000003</v>
      </c>
      <c r="J26" s="2">
        <v>0.54700000000000004</v>
      </c>
      <c r="K26" s="2">
        <v>0.54900000000000004</v>
      </c>
      <c r="L26" s="4">
        <f t="shared" si="0"/>
        <v>0.54900000000000004</v>
      </c>
      <c r="M26" s="2">
        <v>0.58499999999999996</v>
      </c>
      <c r="N26" s="2">
        <v>0.63900000000000001</v>
      </c>
      <c r="O26" s="2">
        <v>0.64400000000000002</v>
      </c>
      <c r="P26" s="4">
        <f t="shared" si="1"/>
        <v>0.64400000000000002</v>
      </c>
      <c r="Q26" s="2">
        <v>0.29499999999999998</v>
      </c>
      <c r="R26" s="2">
        <v>0.32900000000000001</v>
      </c>
      <c r="S26" s="2">
        <v>0.33400000000000002</v>
      </c>
      <c r="T26" s="3">
        <f t="shared" si="2"/>
        <v>0.33400000000000002</v>
      </c>
    </row>
    <row r="27" spans="2:20" x14ac:dyDescent="0.25">
      <c r="B27" s="8">
        <v>24</v>
      </c>
      <c r="C27" t="s">
        <v>28</v>
      </c>
      <c r="D27" t="s">
        <v>32</v>
      </c>
      <c r="E27" t="s">
        <v>8</v>
      </c>
      <c r="F27">
        <v>128</v>
      </c>
      <c r="G27">
        <v>200</v>
      </c>
      <c r="H27" s="7" t="s">
        <v>13</v>
      </c>
      <c r="I27" s="2">
        <v>0.66300000000000003</v>
      </c>
      <c r="J27" s="2">
        <v>0.66400000000000003</v>
      </c>
      <c r="K27" s="2">
        <v>0.629</v>
      </c>
      <c r="L27" s="4">
        <f t="shared" si="0"/>
        <v>0.66400000000000003</v>
      </c>
      <c r="M27" s="2">
        <v>0.59</v>
      </c>
      <c r="N27" s="2">
        <v>0.68100000000000005</v>
      </c>
      <c r="O27" s="2">
        <v>0.66200000000000003</v>
      </c>
      <c r="P27" s="4">
        <f t="shared" si="1"/>
        <v>0.68100000000000005</v>
      </c>
      <c r="Q27" s="2">
        <v>0.27100000000000002</v>
      </c>
      <c r="R27" s="2">
        <v>0.34899999999999998</v>
      </c>
      <c r="S27" s="2">
        <v>0.34799999999999998</v>
      </c>
      <c r="T27" s="3">
        <f t="shared" si="2"/>
        <v>0.34899999999999998</v>
      </c>
    </row>
    <row r="28" spans="2:20" x14ac:dyDescent="0.25">
      <c r="B28" s="8">
        <v>25</v>
      </c>
      <c r="C28" t="s">
        <v>28</v>
      </c>
      <c r="D28" t="s">
        <v>32</v>
      </c>
      <c r="E28" t="s">
        <v>11</v>
      </c>
      <c r="F28">
        <v>256</v>
      </c>
      <c r="G28">
        <v>200</v>
      </c>
      <c r="H28" s="7" t="s">
        <v>13</v>
      </c>
      <c r="I28" s="2">
        <v>0.66700000000000004</v>
      </c>
      <c r="J28" s="2">
        <v>0.66800000000000004</v>
      </c>
      <c r="K28" s="2">
        <v>0.64</v>
      </c>
      <c r="L28" s="4">
        <f t="shared" si="0"/>
        <v>0.66800000000000004</v>
      </c>
      <c r="M28" s="2">
        <v>0.64500000000000002</v>
      </c>
      <c r="N28" s="2">
        <v>0.68100000000000005</v>
      </c>
      <c r="O28" s="2">
        <v>0.65600000000000003</v>
      </c>
      <c r="P28" s="4">
        <f t="shared" si="1"/>
        <v>0.68100000000000005</v>
      </c>
      <c r="Q28" s="2">
        <v>0.32600000000000001</v>
      </c>
      <c r="R28" s="2">
        <v>0.35299999999999998</v>
      </c>
      <c r="S28" s="2">
        <v>0.35</v>
      </c>
      <c r="T28" s="3">
        <f t="shared" si="2"/>
        <v>0.35299999999999998</v>
      </c>
    </row>
    <row r="29" spans="2:20" x14ac:dyDescent="0.25">
      <c r="B29" s="8">
        <v>26</v>
      </c>
      <c r="C29" t="s">
        <v>28</v>
      </c>
      <c r="D29" t="s">
        <v>32</v>
      </c>
      <c r="E29" t="s">
        <v>12</v>
      </c>
      <c r="F29">
        <v>512</v>
      </c>
      <c r="G29">
        <v>200</v>
      </c>
      <c r="H29" s="7" t="s">
        <v>13</v>
      </c>
      <c r="I29" s="2">
        <v>0.60099999999999998</v>
      </c>
      <c r="J29" s="2">
        <v>0.60499999999999998</v>
      </c>
      <c r="K29" s="2">
        <v>0.58699999999999997</v>
      </c>
      <c r="L29" s="4">
        <f t="shared" si="0"/>
        <v>0.60499999999999998</v>
      </c>
      <c r="M29" s="2">
        <v>0.59399999999999997</v>
      </c>
      <c r="N29" s="2">
        <v>0.63200000000000001</v>
      </c>
      <c r="O29" s="2">
        <v>0.61199999999999999</v>
      </c>
      <c r="P29" s="4">
        <f t="shared" si="1"/>
        <v>0.63200000000000001</v>
      </c>
      <c r="Q29" s="2">
        <v>0.30399999999999999</v>
      </c>
      <c r="R29" s="2">
        <v>0.33400000000000002</v>
      </c>
      <c r="S29" s="2">
        <v>0.33</v>
      </c>
      <c r="T29" s="3">
        <f t="shared" si="2"/>
        <v>0.33400000000000002</v>
      </c>
    </row>
    <row r="30" spans="2:20" x14ac:dyDescent="0.25">
      <c r="B30" s="8">
        <v>27</v>
      </c>
      <c r="C30" t="s">
        <v>28</v>
      </c>
      <c r="D30" t="s">
        <v>33</v>
      </c>
      <c r="E30" t="s">
        <v>8</v>
      </c>
      <c r="F30">
        <v>128</v>
      </c>
      <c r="G30">
        <v>200</v>
      </c>
      <c r="H30" s="7" t="s">
        <v>13</v>
      </c>
      <c r="I30" s="2">
        <v>0.68600000000000005</v>
      </c>
      <c r="J30" s="2">
        <v>0.67100000000000004</v>
      </c>
      <c r="K30" s="2">
        <v>0.57699999999999996</v>
      </c>
      <c r="L30" s="4">
        <f t="shared" si="0"/>
        <v>0.68600000000000005</v>
      </c>
      <c r="M30" s="2">
        <v>0.56499999999999995</v>
      </c>
      <c r="N30" s="2">
        <v>0.65100000000000002</v>
      </c>
      <c r="O30" s="2">
        <v>0.57699999999999996</v>
      </c>
      <c r="P30" s="4">
        <f t="shared" si="1"/>
        <v>0.65100000000000002</v>
      </c>
      <c r="Q30" s="2">
        <v>0.254</v>
      </c>
      <c r="R30" s="2">
        <v>0.33700000000000002</v>
      </c>
      <c r="S30" s="2">
        <v>0.32700000000000001</v>
      </c>
      <c r="T30" s="3">
        <f t="shared" si="2"/>
        <v>0.33700000000000002</v>
      </c>
    </row>
    <row r="31" spans="2:20" x14ac:dyDescent="0.25">
      <c r="B31" s="8">
        <v>28</v>
      </c>
      <c r="C31" t="s">
        <v>28</v>
      </c>
      <c r="D31" t="s">
        <v>33</v>
      </c>
      <c r="E31" t="s">
        <v>11</v>
      </c>
      <c r="F31">
        <v>256</v>
      </c>
      <c r="G31">
        <v>200</v>
      </c>
      <c r="H31" s="7" t="s">
        <v>13</v>
      </c>
      <c r="I31" s="2">
        <v>0.69399999999999995</v>
      </c>
      <c r="J31" s="2">
        <v>0.68600000000000005</v>
      </c>
      <c r="K31" s="2">
        <v>0.59499999999999997</v>
      </c>
      <c r="L31" s="4">
        <f t="shared" si="0"/>
        <v>0.69399999999999995</v>
      </c>
      <c r="M31" s="2">
        <v>0.621</v>
      </c>
      <c r="N31" s="2">
        <v>0.65700000000000003</v>
      </c>
      <c r="O31" s="2">
        <v>0.57199999999999995</v>
      </c>
      <c r="P31" s="4">
        <f t="shared" si="1"/>
        <v>0.65700000000000003</v>
      </c>
      <c r="Q31" s="2">
        <v>0.32</v>
      </c>
      <c r="R31" s="2">
        <v>0.35599999999999998</v>
      </c>
      <c r="S31" s="2">
        <v>0.33300000000000002</v>
      </c>
      <c r="T31" s="3">
        <f t="shared" si="2"/>
        <v>0.35599999999999998</v>
      </c>
    </row>
    <row r="32" spans="2:20" x14ac:dyDescent="0.25">
      <c r="B32" s="8">
        <v>29</v>
      </c>
      <c r="C32" t="s">
        <v>28</v>
      </c>
      <c r="D32" t="s">
        <v>33</v>
      </c>
      <c r="E32" t="s">
        <v>12</v>
      </c>
      <c r="F32">
        <v>512</v>
      </c>
      <c r="G32">
        <v>200</v>
      </c>
      <c r="H32" s="7" t="s">
        <v>13</v>
      </c>
      <c r="I32" s="2">
        <v>0.64900000000000002</v>
      </c>
      <c r="J32" s="2">
        <v>0.64600000000000002</v>
      </c>
      <c r="K32" s="2">
        <v>0.56899999999999995</v>
      </c>
      <c r="L32" s="4">
        <f t="shared" si="0"/>
        <v>0.64900000000000002</v>
      </c>
      <c r="M32" s="2">
        <v>0.57299999999999995</v>
      </c>
      <c r="N32" s="2">
        <v>0.61499999999999999</v>
      </c>
      <c r="O32" s="2">
        <v>0.53600000000000003</v>
      </c>
      <c r="P32" s="4">
        <f t="shared" si="1"/>
        <v>0.61499999999999999</v>
      </c>
      <c r="Q32" s="2">
        <v>0.3</v>
      </c>
      <c r="R32" s="2">
        <v>0.33500000000000002</v>
      </c>
      <c r="S32" s="2">
        <v>0.31</v>
      </c>
      <c r="T32" s="3">
        <f t="shared" si="2"/>
        <v>0.33500000000000002</v>
      </c>
    </row>
    <row r="33" spans="2:20" x14ac:dyDescent="0.25">
      <c r="B33" s="8">
        <v>30</v>
      </c>
      <c r="C33" t="s">
        <v>28</v>
      </c>
      <c r="D33" t="s">
        <v>34</v>
      </c>
      <c r="E33" t="s">
        <v>29</v>
      </c>
      <c r="F33">
        <v>128</v>
      </c>
      <c r="G33">
        <v>200</v>
      </c>
      <c r="H33" s="7" t="s">
        <v>13</v>
      </c>
      <c r="I33" s="2">
        <v>0.51300000000000001</v>
      </c>
      <c r="J33" s="2">
        <v>0.53300000000000003</v>
      </c>
      <c r="K33" s="2">
        <v>0.53600000000000003</v>
      </c>
      <c r="L33" s="4">
        <f t="shared" si="0"/>
        <v>0.53600000000000003</v>
      </c>
      <c r="M33" s="2">
        <v>0.5</v>
      </c>
      <c r="N33" s="2">
        <v>0.57799999999999996</v>
      </c>
      <c r="O33" s="2">
        <v>0.59499999999999997</v>
      </c>
      <c r="P33" s="4">
        <f t="shared" si="1"/>
        <v>0.59499999999999997</v>
      </c>
      <c r="Q33" s="2">
        <v>0.246</v>
      </c>
      <c r="R33" s="2">
        <v>0.26600000000000001</v>
      </c>
      <c r="S33" s="2">
        <v>0.27400000000000002</v>
      </c>
      <c r="T33" s="3">
        <f t="shared" si="2"/>
        <v>0.27400000000000002</v>
      </c>
    </row>
    <row r="34" spans="2:20" x14ac:dyDescent="0.25">
      <c r="B34" s="8">
        <v>31</v>
      </c>
      <c r="C34" t="s">
        <v>28</v>
      </c>
      <c r="D34" t="s">
        <v>34</v>
      </c>
      <c r="E34" t="s">
        <v>31</v>
      </c>
      <c r="F34">
        <v>256</v>
      </c>
      <c r="G34">
        <v>200</v>
      </c>
      <c r="H34" s="7" t="s">
        <v>13</v>
      </c>
      <c r="I34" s="2">
        <v>0.59899999999999998</v>
      </c>
      <c r="J34" s="2">
        <v>0.60899999999999999</v>
      </c>
      <c r="K34" s="2">
        <v>0.60799999999999998</v>
      </c>
      <c r="L34" s="4">
        <f t="shared" si="0"/>
        <v>0.60899999999999999</v>
      </c>
      <c r="M34" s="2">
        <v>0.59899999999999998</v>
      </c>
      <c r="N34" s="2">
        <v>0.65200000000000002</v>
      </c>
      <c r="O34" s="2">
        <v>0.65700000000000003</v>
      </c>
      <c r="P34" s="4">
        <f t="shared" si="1"/>
        <v>0.65700000000000003</v>
      </c>
      <c r="Q34" s="2">
        <v>0.30299999999999999</v>
      </c>
      <c r="R34" s="2">
        <v>0.32700000000000001</v>
      </c>
      <c r="S34" s="2">
        <v>0.33300000000000002</v>
      </c>
      <c r="T34" s="3">
        <f t="shared" si="2"/>
        <v>0.33300000000000002</v>
      </c>
    </row>
    <row r="35" spans="2:20" x14ac:dyDescent="0.25">
      <c r="B35" s="8">
        <v>32</v>
      </c>
      <c r="C35" t="s">
        <v>28</v>
      </c>
      <c r="D35" t="s">
        <v>34</v>
      </c>
      <c r="E35" t="s">
        <v>30</v>
      </c>
      <c r="F35">
        <v>512</v>
      </c>
      <c r="G35">
        <v>200</v>
      </c>
      <c r="H35" s="7" t="s">
        <v>13</v>
      </c>
      <c r="I35" s="2">
        <v>0.52500000000000002</v>
      </c>
      <c r="J35" s="2">
        <v>0.54</v>
      </c>
      <c r="K35" s="2">
        <v>0.54300000000000004</v>
      </c>
      <c r="L35" s="4">
        <f t="shared" si="0"/>
        <v>0.54300000000000004</v>
      </c>
      <c r="M35" s="2">
        <v>0.55300000000000005</v>
      </c>
      <c r="N35" s="2">
        <v>0.63500000000000001</v>
      </c>
      <c r="O35" s="2">
        <v>0.63900000000000001</v>
      </c>
      <c r="P35" s="4">
        <f t="shared" si="1"/>
        <v>0.63900000000000001</v>
      </c>
      <c r="Q35" s="2">
        <v>0.27</v>
      </c>
      <c r="R35" s="2">
        <v>0.32500000000000001</v>
      </c>
      <c r="S35" s="2">
        <v>0.33100000000000002</v>
      </c>
      <c r="T35" s="3">
        <f t="shared" si="2"/>
        <v>0.33100000000000002</v>
      </c>
    </row>
    <row r="36" spans="2:20" x14ac:dyDescent="0.25">
      <c r="B36" s="8">
        <v>33</v>
      </c>
      <c r="C36" t="s">
        <v>35</v>
      </c>
      <c r="E36" t="s">
        <v>8</v>
      </c>
      <c r="F36">
        <v>128</v>
      </c>
      <c r="G36">
        <v>200</v>
      </c>
      <c r="H36" s="7" t="s">
        <v>13</v>
      </c>
      <c r="I36" s="2">
        <v>0.59699999999999998</v>
      </c>
      <c r="J36" s="2">
        <v>0.60599999999999998</v>
      </c>
      <c r="K36" s="2">
        <v>0.60599999999999998</v>
      </c>
      <c r="L36" s="4">
        <f t="shared" si="0"/>
        <v>0.60599999999999998</v>
      </c>
      <c r="M36" s="2">
        <v>0.53700000000000003</v>
      </c>
      <c r="N36" s="2">
        <v>0.64100000000000001</v>
      </c>
      <c r="O36" s="2">
        <v>0.67700000000000005</v>
      </c>
      <c r="P36" s="4">
        <f t="shared" si="1"/>
        <v>0.67700000000000005</v>
      </c>
      <c r="Q36" s="2">
        <v>0.252</v>
      </c>
      <c r="R36" s="2">
        <v>0.309</v>
      </c>
      <c r="S36" s="2">
        <v>0.33600000000000002</v>
      </c>
      <c r="T36" s="3">
        <f t="shared" si="2"/>
        <v>0.33600000000000002</v>
      </c>
    </row>
    <row r="37" spans="2:20" x14ac:dyDescent="0.25">
      <c r="B37" s="8">
        <v>34</v>
      </c>
      <c r="C37" t="s">
        <v>35</v>
      </c>
      <c r="E37" t="s">
        <v>17</v>
      </c>
      <c r="F37">
        <v>256</v>
      </c>
      <c r="G37">
        <v>100</v>
      </c>
      <c r="H37" s="7" t="s">
        <v>13</v>
      </c>
      <c r="I37" s="2">
        <v>0.65600000000000003</v>
      </c>
      <c r="J37" s="2">
        <v>0.65900000000000003</v>
      </c>
      <c r="K37" s="2">
        <v>0.64800000000000002</v>
      </c>
      <c r="L37" s="4">
        <f t="shared" si="0"/>
        <v>0.65900000000000003</v>
      </c>
      <c r="M37" s="2">
        <v>0.54500000000000004</v>
      </c>
      <c r="N37" s="2">
        <v>0.66500000000000004</v>
      </c>
      <c r="O37" s="2">
        <v>0.70499999999999996</v>
      </c>
      <c r="P37" s="4">
        <f t="shared" si="1"/>
        <v>0.70499999999999996</v>
      </c>
      <c r="Q37" s="2">
        <v>0.25700000000000001</v>
      </c>
      <c r="R37" s="2">
        <v>0.33400000000000002</v>
      </c>
      <c r="S37" s="2">
        <v>0.378</v>
      </c>
      <c r="T37" s="3">
        <f t="shared" si="2"/>
        <v>0.378</v>
      </c>
    </row>
    <row r="38" spans="2:20" x14ac:dyDescent="0.25">
      <c r="B38" s="8">
        <v>35</v>
      </c>
      <c r="C38" t="s">
        <v>35</v>
      </c>
      <c r="E38" t="s">
        <v>11</v>
      </c>
      <c r="F38">
        <v>256</v>
      </c>
      <c r="G38">
        <v>200</v>
      </c>
      <c r="H38" s="7" t="s">
        <v>13</v>
      </c>
      <c r="I38" s="2">
        <v>0.64700000000000002</v>
      </c>
      <c r="J38" s="2">
        <v>0.64900000000000002</v>
      </c>
      <c r="K38" s="2">
        <v>0.64</v>
      </c>
      <c r="L38" s="4">
        <f t="shared" si="0"/>
        <v>0.64900000000000002</v>
      </c>
      <c r="M38" s="2">
        <v>0.58499999999999996</v>
      </c>
      <c r="N38" s="2">
        <v>0.67800000000000005</v>
      </c>
      <c r="O38" s="2">
        <v>0.69699999999999995</v>
      </c>
      <c r="P38" s="4">
        <f t="shared" si="1"/>
        <v>0.69699999999999995</v>
      </c>
      <c r="Q38" s="2">
        <v>0.28499999999999998</v>
      </c>
      <c r="R38" s="2">
        <v>0.34399999999999997</v>
      </c>
      <c r="S38" s="2">
        <v>0.36899999999999999</v>
      </c>
      <c r="T38" s="3">
        <f t="shared" si="2"/>
        <v>0.36899999999999999</v>
      </c>
    </row>
    <row r="39" spans="2:20" x14ac:dyDescent="0.25">
      <c r="B39" s="8">
        <v>36</v>
      </c>
      <c r="C39" t="s">
        <v>35</v>
      </c>
      <c r="E39" t="s">
        <v>19</v>
      </c>
      <c r="F39">
        <v>512</v>
      </c>
      <c r="G39">
        <v>100</v>
      </c>
      <c r="H39" s="7" t="s">
        <v>13</v>
      </c>
      <c r="I39" s="2">
        <v>0.65200000000000002</v>
      </c>
      <c r="J39" s="2">
        <v>0.64100000000000001</v>
      </c>
      <c r="K39" s="2">
        <v>0.60599999999999998</v>
      </c>
      <c r="L39" s="4">
        <f t="shared" si="0"/>
        <v>0.65200000000000002</v>
      </c>
      <c r="M39" s="2">
        <v>0.47699999999999998</v>
      </c>
      <c r="N39" s="2">
        <v>0.61699999999999999</v>
      </c>
      <c r="O39" s="2">
        <v>0.69499999999999995</v>
      </c>
      <c r="P39" s="4">
        <f t="shared" si="1"/>
        <v>0.69499999999999995</v>
      </c>
      <c r="Q39" s="2">
        <v>0.20499999999999999</v>
      </c>
      <c r="R39" s="2">
        <v>0.28899999999999998</v>
      </c>
      <c r="S39" s="2">
        <v>0.38300000000000001</v>
      </c>
      <c r="T39" s="3">
        <f t="shared" si="2"/>
        <v>0.38300000000000001</v>
      </c>
    </row>
    <row r="40" spans="2:20" x14ac:dyDescent="0.25">
      <c r="B40" s="8">
        <v>37</v>
      </c>
      <c r="C40" t="s">
        <v>35</v>
      </c>
      <c r="E40" t="s">
        <v>12</v>
      </c>
      <c r="F40">
        <v>512</v>
      </c>
      <c r="G40">
        <v>200</v>
      </c>
      <c r="H40" s="7" t="s">
        <v>13</v>
      </c>
      <c r="I40" s="2">
        <v>0.61</v>
      </c>
      <c r="J40" s="2">
        <v>0.60399999999999998</v>
      </c>
      <c r="K40" s="2">
        <v>0.57199999999999995</v>
      </c>
      <c r="L40" s="4">
        <f t="shared" si="0"/>
        <v>0.61</v>
      </c>
      <c r="M40" s="2">
        <v>0.49099999999999999</v>
      </c>
      <c r="N40" s="2">
        <v>0.61499999999999999</v>
      </c>
      <c r="O40" s="2">
        <v>0.64300000000000002</v>
      </c>
      <c r="P40" s="4">
        <f t="shared" si="1"/>
        <v>0.64300000000000002</v>
      </c>
      <c r="Q40" s="2">
        <v>0.217</v>
      </c>
      <c r="R40" s="2">
        <v>0.29899999999999999</v>
      </c>
      <c r="S40" s="2">
        <v>0.34599999999999997</v>
      </c>
      <c r="T40" s="3">
        <f t="shared" si="2"/>
        <v>0.34599999999999997</v>
      </c>
    </row>
    <row r="41" spans="2:20" x14ac:dyDescent="0.25">
      <c r="B41" s="8">
        <v>38</v>
      </c>
      <c r="C41" s="9" t="s">
        <v>35</v>
      </c>
      <c r="D41" t="s">
        <v>32</v>
      </c>
      <c r="E41" t="s">
        <v>8</v>
      </c>
      <c r="F41">
        <v>128</v>
      </c>
      <c r="G41">
        <v>200</v>
      </c>
      <c r="H41" t="s">
        <v>13</v>
      </c>
      <c r="I41" s="9">
        <v>0.66500000000000004</v>
      </c>
      <c r="J41" s="2">
        <v>0.66700000000000004</v>
      </c>
      <c r="K41" s="2">
        <v>0.63400000000000001</v>
      </c>
      <c r="L41" s="4">
        <f t="shared" si="0"/>
        <v>0.66700000000000004</v>
      </c>
      <c r="M41" s="9">
        <v>0.56399999999999995</v>
      </c>
      <c r="N41" s="2">
        <v>0.67900000000000005</v>
      </c>
      <c r="O41" s="2">
        <v>0.66300000000000003</v>
      </c>
      <c r="P41" s="4">
        <f t="shared" si="1"/>
        <v>0.67900000000000005</v>
      </c>
      <c r="Q41" s="9">
        <v>0.26200000000000001</v>
      </c>
      <c r="R41" s="2">
        <v>0.34699999999999998</v>
      </c>
      <c r="S41" s="2">
        <v>0.34799999999999998</v>
      </c>
      <c r="T41" s="3">
        <f t="shared" si="2"/>
        <v>0.34799999999999998</v>
      </c>
    </row>
    <row r="42" spans="2:20" x14ac:dyDescent="0.25">
      <c r="B42" s="8">
        <v>39</v>
      </c>
      <c r="C42" s="9" t="s">
        <v>35</v>
      </c>
      <c r="D42" t="s">
        <v>32</v>
      </c>
      <c r="E42" t="s">
        <v>11</v>
      </c>
      <c r="F42">
        <v>256</v>
      </c>
      <c r="G42">
        <v>200</v>
      </c>
      <c r="H42" t="s">
        <v>13</v>
      </c>
      <c r="I42" s="9">
        <v>0.68100000000000005</v>
      </c>
      <c r="J42" s="2">
        <v>0.68</v>
      </c>
      <c r="K42" s="2">
        <v>0.64600000000000002</v>
      </c>
      <c r="L42" s="4">
        <f t="shared" si="0"/>
        <v>0.68100000000000005</v>
      </c>
      <c r="M42" s="9">
        <v>0.61899999999999999</v>
      </c>
      <c r="N42" s="2">
        <v>0.69599999999999995</v>
      </c>
      <c r="O42" s="2">
        <v>0.66</v>
      </c>
      <c r="P42" s="4">
        <f t="shared" si="1"/>
        <v>0.69599999999999995</v>
      </c>
      <c r="Q42" s="9">
        <v>0.315</v>
      </c>
      <c r="R42" s="2">
        <v>0.36899999999999999</v>
      </c>
      <c r="S42" s="2">
        <v>0.36099999999999999</v>
      </c>
      <c r="T42" s="3">
        <f t="shared" si="2"/>
        <v>0.36899999999999999</v>
      </c>
    </row>
    <row r="43" spans="2:20" x14ac:dyDescent="0.25">
      <c r="B43" s="8">
        <v>40</v>
      </c>
      <c r="C43" s="9" t="s">
        <v>35</v>
      </c>
      <c r="D43" t="s">
        <v>32</v>
      </c>
      <c r="E43" t="s">
        <v>12</v>
      </c>
      <c r="F43">
        <v>512</v>
      </c>
      <c r="G43">
        <v>200</v>
      </c>
      <c r="H43" t="s">
        <v>13</v>
      </c>
      <c r="I43" s="9">
        <v>0.66600000000000004</v>
      </c>
      <c r="J43" s="2">
        <v>0.65200000000000002</v>
      </c>
      <c r="K43" s="2">
        <v>0.60299999999999998</v>
      </c>
      <c r="L43" s="4">
        <f t="shared" si="0"/>
        <v>0.66600000000000004</v>
      </c>
      <c r="M43" s="9">
        <v>0.59199999999999997</v>
      </c>
      <c r="N43" s="2">
        <v>0.69199999999999995</v>
      </c>
      <c r="O43" s="2">
        <v>0.63400000000000001</v>
      </c>
      <c r="P43" s="4">
        <f t="shared" si="1"/>
        <v>0.69199999999999995</v>
      </c>
      <c r="Q43" s="9">
        <v>0.29299999999999998</v>
      </c>
      <c r="R43" s="2">
        <v>0.38100000000000001</v>
      </c>
      <c r="S43" s="2">
        <v>0.36299999999999999</v>
      </c>
      <c r="T43" s="3">
        <f t="shared" si="2"/>
        <v>0.38100000000000001</v>
      </c>
    </row>
    <row r="44" spans="2:20" x14ac:dyDescent="0.25">
      <c r="B44" s="8">
        <v>41</v>
      </c>
      <c r="C44" s="9" t="s">
        <v>35</v>
      </c>
      <c r="D44" t="s">
        <v>33</v>
      </c>
      <c r="E44" t="s">
        <v>8</v>
      </c>
      <c r="F44">
        <v>128</v>
      </c>
      <c r="G44">
        <v>200</v>
      </c>
      <c r="H44" t="s">
        <v>13</v>
      </c>
      <c r="I44" s="9">
        <v>0.69899999999999995</v>
      </c>
      <c r="J44" s="2">
        <v>0.68</v>
      </c>
      <c r="K44" s="2">
        <v>0.57599999999999996</v>
      </c>
      <c r="L44" s="4">
        <f t="shared" si="0"/>
        <v>0.69899999999999995</v>
      </c>
      <c r="M44" s="9">
        <v>0.63700000000000001</v>
      </c>
      <c r="N44" s="2">
        <v>0.67100000000000004</v>
      </c>
      <c r="O44" s="2">
        <v>0.58699999999999997</v>
      </c>
      <c r="P44" s="4">
        <f t="shared" si="1"/>
        <v>0.67100000000000004</v>
      </c>
      <c r="Q44" s="9">
        <v>0.317</v>
      </c>
      <c r="R44" s="2">
        <v>0.35699999999999998</v>
      </c>
      <c r="S44" s="2">
        <v>0.33600000000000002</v>
      </c>
      <c r="T44" s="3">
        <f t="shared" si="2"/>
        <v>0.35699999999999998</v>
      </c>
    </row>
    <row r="45" spans="2:20" x14ac:dyDescent="0.25">
      <c r="B45" s="8">
        <v>42</v>
      </c>
      <c r="C45" s="9" t="s">
        <v>35</v>
      </c>
      <c r="D45" t="s">
        <v>33</v>
      </c>
      <c r="E45" t="s">
        <v>11</v>
      </c>
      <c r="F45">
        <v>256</v>
      </c>
      <c r="G45">
        <v>200</v>
      </c>
      <c r="H45" t="s">
        <v>13</v>
      </c>
      <c r="I45" s="9">
        <v>0.70799999999999996</v>
      </c>
      <c r="J45" s="2">
        <v>0.69399999999999995</v>
      </c>
      <c r="K45" s="2">
        <v>0.59299999999999997</v>
      </c>
      <c r="L45" s="4">
        <f t="shared" si="0"/>
        <v>0.70799999999999996</v>
      </c>
      <c r="M45" s="9">
        <v>0.64700000000000002</v>
      </c>
      <c r="N45" s="2">
        <v>0.66800000000000004</v>
      </c>
      <c r="O45" s="2">
        <v>0.56699999999999995</v>
      </c>
      <c r="P45" s="4">
        <f t="shared" si="1"/>
        <v>0.66800000000000004</v>
      </c>
      <c r="Q45" s="9">
        <v>0.34</v>
      </c>
      <c r="R45" s="2">
        <v>0.36499999999999999</v>
      </c>
      <c r="S45" s="2">
        <v>0.33500000000000002</v>
      </c>
      <c r="T45" s="3">
        <f t="shared" si="2"/>
        <v>0.36499999999999999</v>
      </c>
    </row>
    <row r="46" spans="2:20" x14ac:dyDescent="0.25">
      <c r="B46" s="8">
        <v>43</v>
      </c>
      <c r="C46" s="9" t="s">
        <v>35</v>
      </c>
      <c r="D46" t="s">
        <v>33</v>
      </c>
      <c r="E46" t="s">
        <v>12</v>
      </c>
      <c r="F46">
        <v>512</v>
      </c>
      <c r="G46">
        <v>200</v>
      </c>
      <c r="H46" t="s">
        <v>13</v>
      </c>
      <c r="I46" s="9">
        <v>0.71199999999999997</v>
      </c>
      <c r="J46" s="2">
        <v>0.69199999999999995</v>
      </c>
      <c r="K46" s="2">
        <v>0.58199999999999996</v>
      </c>
      <c r="L46" s="4">
        <f t="shared" si="0"/>
        <v>0.71199999999999997</v>
      </c>
      <c r="M46" s="9">
        <v>0.66200000000000003</v>
      </c>
      <c r="N46" s="2">
        <v>0.68700000000000006</v>
      </c>
      <c r="O46" s="2">
        <v>0.56999999999999995</v>
      </c>
      <c r="P46" s="4">
        <f t="shared" si="1"/>
        <v>0.68700000000000006</v>
      </c>
      <c r="Q46" s="9">
        <v>0.35199999999999998</v>
      </c>
      <c r="R46" s="2">
        <v>0.38900000000000001</v>
      </c>
      <c r="S46" s="2">
        <v>0.34599999999999997</v>
      </c>
      <c r="T46" s="3">
        <f t="shared" si="2"/>
        <v>0.38900000000000001</v>
      </c>
    </row>
  </sheetData>
  <autoFilter ref="B3:T40" xr:uid="{E5AC0FCE-89EB-4E8A-9A1B-0F9DA6253ADF}">
    <sortState xmlns:xlrd2="http://schemas.microsoft.com/office/spreadsheetml/2017/richdata2" ref="B4:T40">
      <sortCondition ref="B3:B40"/>
    </sortState>
  </autoFilter>
  <mergeCells count="3">
    <mergeCell ref="I2:L2"/>
    <mergeCell ref="M2:P2"/>
    <mergeCell ref="Q2:T2"/>
  </mergeCells>
  <phoneticPr fontId="1" type="noConversion"/>
  <conditionalFormatting sqref="J41:L46 I4:P40 N41:P46">
    <cfRule type="colorScale" priority="35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41:T46 Q4:T40">
    <cfRule type="colorScale" priority="36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4:L46">
    <cfRule type="colorScale" priority="42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4:P46">
    <cfRule type="colorScale" priority="4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4:T46">
    <cfRule type="colorScale" priority="42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7D131-318D-4B5F-8441-AA6E1D149AFA}">
  <dimension ref="B2:T46"/>
  <sheetViews>
    <sheetView workbookViewId="0"/>
  </sheetViews>
  <sheetFormatPr defaultRowHeight="15" x14ac:dyDescent="0.25"/>
  <cols>
    <col min="2" max="2" width="4.28515625" customWidth="1"/>
    <col min="3" max="4" width="12.85546875" customWidth="1"/>
    <col min="5" max="5" width="27.140625" customWidth="1"/>
    <col min="6" max="8" width="12.85546875" customWidth="1"/>
    <col min="9" max="20" width="10.7109375" customWidth="1"/>
  </cols>
  <sheetData>
    <row r="2" spans="2:20" x14ac:dyDescent="0.25">
      <c r="I2" s="26" t="s">
        <v>14</v>
      </c>
      <c r="J2" s="26"/>
      <c r="K2" s="26"/>
      <c r="L2" s="26"/>
      <c r="M2" s="26" t="s">
        <v>4</v>
      </c>
      <c r="N2" s="26"/>
      <c r="O2" s="26"/>
      <c r="P2" s="26"/>
      <c r="Q2" s="26" t="s">
        <v>5</v>
      </c>
      <c r="R2" s="26"/>
      <c r="S2" s="26"/>
      <c r="T2" s="26"/>
    </row>
    <row r="3" spans="2:20" ht="15.75" thickBot="1" x14ac:dyDescent="0.3">
      <c r="B3" s="5"/>
      <c r="C3" s="10" t="s">
        <v>3</v>
      </c>
      <c r="D3" s="5" t="s">
        <v>9</v>
      </c>
      <c r="E3" s="5" t="s">
        <v>1</v>
      </c>
      <c r="F3" s="5" t="s">
        <v>7</v>
      </c>
      <c r="G3" s="5" t="s">
        <v>2</v>
      </c>
      <c r="H3" s="5" t="s">
        <v>0</v>
      </c>
      <c r="I3" s="21" t="s">
        <v>36</v>
      </c>
      <c r="J3" s="15" t="s">
        <v>37</v>
      </c>
      <c r="K3" s="15" t="s">
        <v>38</v>
      </c>
      <c r="L3" s="19" t="s">
        <v>39</v>
      </c>
      <c r="M3" s="21" t="s">
        <v>36</v>
      </c>
      <c r="N3" s="15" t="s">
        <v>37</v>
      </c>
      <c r="O3" s="15" t="s">
        <v>38</v>
      </c>
      <c r="P3" s="19" t="s">
        <v>39</v>
      </c>
      <c r="Q3" s="21" t="s">
        <v>36</v>
      </c>
      <c r="R3" s="15" t="s">
        <v>37</v>
      </c>
      <c r="S3" s="15" t="s">
        <v>38</v>
      </c>
      <c r="T3" s="6" t="s">
        <v>39</v>
      </c>
    </row>
    <row r="4" spans="2:20" x14ac:dyDescent="0.25">
      <c r="B4" s="1">
        <v>1</v>
      </c>
      <c r="C4" s="9" t="s">
        <v>6</v>
      </c>
      <c r="D4" t="s">
        <v>10</v>
      </c>
      <c r="E4" t="s">
        <v>8</v>
      </c>
      <c r="F4">
        <v>128</v>
      </c>
      <c r="G4">
        <v>200</v>
      </c>
      <c r="H4" t="s">
        <v>13</v>
      </c>
      <c r="I4" s="20">
        <v>0.45100000000000001</v>
      </c>
      <c r="J4" s="2">
        <v>0.40100000000000002</v>
      </c>
      <c r="K4" s="2">
        <v>0.32200000000000001</v>
      </c>
      <c r="L4" s="3">
        <f t="shared" ref="L4:L46" si="0">MAX(I4:K4)</f>
        <v>0.45100000000000001</v>
      </c>
      <c r="M4" s="20">
        <v>0.35299999999999998</v>
      </c>
      <c r="N4" s="2">
        <v>0.38300000000000001</v>
      </c>
      <c r="O4" s="2">
        <v>0.307</v>
      </c>
      <c r="P4" s="3">
        <f t="shared" ref="P4:P46" si="1">MAX(M4:O4)</f>
        <v>0.38300000000000001</v>
      </c>
      <c r="Q4" s="20">
        <v>0.18</v>
      </c>
      <c r="R4" s="2">
        <v>0.22900000000000001</v>
      </c>
      <c r="S4" s="2">
        <v>0.20599999999999999</v>
      </c>
      <c r="T4" s="3">
        <f t="shared" ref="T4:T46" si="2">MAX(Q4:S4)</f>
        <v>0.22900000000000001</v>
      </c>
    </row>
    <row r="5" spans="2:20" x14ac:dyDescent="0.25">
      <c r="B5" s="1">
        <v>2</v>
      </c>
      <c r="C5" s="9" t="s">
        <v>6</v>
      </c>
      <c r="D5" t="s">
        <v>10</v>
      </c>
      <c r="E5" t="s">
        <v>11</v>
      </c>
      <c r="F5">
        <v>256</v>
      </c>
      <c r="G5">
        <v>200</v>
      </c>
      <c r="H5" t="s">
        <v>13</v>
      </c>
      <c r="I5" s="20">
        <v>0.48599999999999999</v>
      </c>
      <c r="J5" s="2">
        <v>0.42699999999999999</v>
      </c>
      <c r="K5" s="2">
        <v>0.35199999999999998</v>
      </c>
      <c r="L5" s="3">
        <f t="shared" si="0"/>
        <v>0.48599999999999999</v>
      </c>
      <c r="M5" s="20">
        <v>0.33900000000000002</v>
      </c>
      <c r="N5" s="2">
        <v>0.39500000000000002</v>
      </c>
      <c r="O5" s="2">
        <v>0.33100000000000002</v>
      </c>
      <c r="P5" s="3">
        <f t="shared" si="1"/>
        <v>0.39500000000000002</v>
      </c>
      <c r="Q5" s="20">
        <v>0.186</v>
      </c>
      <c r="R5" s="2">
        <v>0.23899999999999999</v>
      </c>
      <c r="S5" s="2">
        <v>0.23</v>
      </c>
      <c r="T5" s="3">
        <f t="shared" si="2"/>
        <v>0.23899999999999999</v>
      </c>
    </row>
    <row r="6" spans="2:20" x14ac:dyDescent="0.25">
      <c r="B6" s="1">
        <v>3</v>
      </c>
      <c r="C6" s="9" t="s">
        <v>6</v>
      </c>
      <c r="D6" t="s">
        <v>10</v>
      </c>
      <c r="E6" t="s">
        <v>12</v>
      </c>
      <c r="F6">
        <v>512</v>
      </c>
      <c r="G6">
        <v>200</v>
      </c>
      <c r="H6" t="s">
        <v>13</v>
      </c>
      <c r="I6" s="20">
        <v>0.48</v>
      </c>
      <c r="J6" s="2">
        <v>0.41699999999999998</v>
      </c>
      <c r="K6" s="2">
        <v>0.318</v>
      </c>
      <c r="L6" s="3">
        <f t="shared" si="0"/>
        <v>0.48</v>
      </c>
      <c r="M6" s="20">
        <v>0.38200000000000001</v>
      </c>
      <c r="N6" s="2">
        <v>0.41799999999999998</v>
      </c>
      <c r="O6" s="2">
        <v>0.33100000000000002</v>
      </c>
      <c r="P6" s="3">
        <f t="shared" si="1"/>
        <v>0.41799999999999998</v>
      </c>
      <c r="Q6" s="20">
        <v>0.20599999999999999</v>
      </c>
      <c r="R6" s="2">
        <v>0.248</v>
      </c>
      <c r="S6" s="2">
        <v>0.22800000000000001</v>
      </c>
      <c r="T6" s="3">
        <f t="shared" si="2"/>
        <v>0.248</v>
      </c>
    </row>
    <row r="7" spans="2:20" x14ac:dyDescent="0.25">
      <c r="B7" s="1">
        <v>4</v>
      </c>
      <c r="C7" s="9" t="s">
        <v>6</v>
      </c>
      <c r="E7" t="s">
        <v>15</v>
      </c>
      <c r="F7">
        <v>128</v>
      </c>
      <c r="G7">
        <v>100</v>
      </c>
      <c r="H7" t="s">
        <v>13</v>
      </c>
      <c r="I7" s="20">
        <v>0.47399999999999998</v>
      </c>
      <c r="J7" s="2">
        <v>0.38100000000000001</v>
      </c>
      <c r="K7" s="2">
        <v>0.29799999999999999</v>
      </c>
      <c r="L7" s="3">
        <f t="shared" si="0"/>
        <v>0.47399999999999998</v>
      </c>
      <c r="M7" s="20">
        <v>0.36099999999999999</v>
      </c>
      <c r="N7" s="2">
        <v>0.38800000000000001</v>
      </c>
      <c r="O7" s="2">
        <v>0.309</v>
      </c>
      <c r="P7" s="3">
        <f t="shared" si="1"/>
        <v>0.38800000000000001</v>
      </c>
      <c r="Q7" s="20">
        <v>0.185</v>
      </c>
      <c r="R7" s="2">
        <v>0.23400000000000001</v>
      </c>
      <c r="S7" s="2">
        <v>0.20799999999999999</v>
      </c>
      <c r="T7" s="3">
        <f t="shared" si="2"/>
        <v>0.23400000000000001</v>
      </c>
    </row>
    <row r="8" spans="2:20" x14ac:dyDescent="0.25">
      <c r="B8" s="1">
        <v>5</v>
      </c>
      <c r="C8" s="9" t="s">
        <v>6</v>
      </c>
      <c r="E8" t="s">
        <v>8</v>
      </c>
      <c r="F8">
        <v>128</v>
      </c>
      <c r="G8">
        <v>200</v>
      </c>
      <c r="H8" t="s">
        <v>13</v>
      </c>
      <c r="I8" s="20">
        <v>0.48899999999999999</v>
      </c>
      <c r="J8" s="2">
        <v>0.41399999999999998</v>
      </c>
      <c r="K8" s="2">
        <v>0.33400000000000002</v>
      </c>
      <c r="L8" s="3">
        <f t="shared" si="0"/>
        <v>0.48899999999999999</v>
      </c>
      <c r="M8" s="20">
        <v>0.373</v>
      </c>
      <c r="N8" s="2">
        <v>0.40799999999999997</v>
      </c>
      <c r="O8" s="2">
        <v>0.32900000000000001</v>
      </c>
      <c r="P8" s="3">
        <f t="shared" si="1"/>
        <v>0.40799999999999997</v>
      </c>
      <c r="Q8" s="20">
        <v>0.191</v>
      </c>
      <c r="R8" s="2">
        <v>0.248</v>
      </c>
      <c r="S8" s="2">
        <v>0.222</v>
      </c>
      <c r="T8" s="3">
        <f t="shared" si="2"/>
        <v>0.248</v>
      </c>
    </row>
    <row r="9" spans="2:20" x14ac:dyDescent="0.25">
      <c r="B9" s="1">
        <v>6</v>
      </c>
      <c r="C9" s="9" t="s">
        <v>6</v>
      </c>
      <c r="E9" t="s">
        <v>16</v>
      </c>
      <c r="F9">
        <v>128</v>
      </c>
      <c r="G9">
        <v>300</v>
      </c>
      <c r="H9" t="s">
        <v>13</v>
      </c>
      <c r="I9" s="20">
        <v>0.46</v>
      </c>
      <c r="J9" s="2">
        <v>0.38600000000000001</v>
      </c>
      <c r="K9" s="2">
        <v>0.313</v>
      </c>
      <c r="L9" s="3">
        <f t="shared" si="0"/>
        <v>0.46</v>
      </c>
      <c r="M9" s="20">
        <v>0.35799999999999998</v>
      </c>
      <c r="N9" s="2">
        <v>0.39</v>
      </c>
      <c r="O9" s="2">
        <v>0.316</v>
      </c>
      <c r="P9" s="3">
        <f t="shared" si="1"/>
        <v>0.39</v>
      </c>
      <c r="Q9" s="20">
        <v>0.18099999999999999</v>
      </c>
      <c r="R9" s="2">
        <v>0.23599999999999999</v>
      </c>
      <c r="S9" s="2">
        <v>0.21199999999999999</v>
      </c>
      <c r="T9" s="3">
        <f t="shared" si="2"/>
        <v>0.23599999999999999</v>
      </c>
    </row>
    <row r="10" spans="2:20" x14ac:dyDescent="0.25">
      <c r="B10" s="1">
        <v>7</v>
      </c>
      <c r="C10" s="9" t="s">
        <v>6</v>
      </c>
      <c r="E10" t="s">
        <v>17</v>
      </c>
      <c r="F10">
        <v>256</v>
      </c>
      <c r="G10">
        <v>100</v>
      </c>
      <c r="H10" t="s">
        <v>13</v>
      </c>
      <c r="I10" s="20">
        <v>0.48899999999999999</v>
      </c>
      <c r="J10" s="2">
        <v>0.42</v>
      </c>
      <c r="K10" s="2">
        <v>0.32800000000000001</v>
      </c>
      <c r="L10" s="3">
        <f t="shared" si="0"/>
        <v>0.48899999999999999</v>
      </c>
      <c r="M10" s="20">
        <v>0.35499999999999998</v>
      </c>
      <c r="N10" s="2">
        <v>0.41299999999999998</v>
      </c>
      <c r="O10" s="2">
        <v>0.33</v>
      </c>
      <c r="P10" s="3">
        <f t="shared" si="1"/>
        <v>0.41299999999999998</v>
      </c>
      <c r="Q10" s="20">
        <v>0.193</v>
      </c>
      <c r="R10" s="2">
        <v>0.254</v>
      </c>
      <c r="S10" s="2">
        <v>0.22500000000000001</v>
      </c>
      <c r="T10" s="3">
        <f t="shared" si="2"/>
        <v>0.254</v>
      </c>
    </row>
    <row r="11" spans="2:20" x14ac:dyDescent="0.25">
      <c r="B11" s="1">
        <v>8</v>
      </c>
      <c r="C11" s="9" t="s">
        <v>6</v>
      </c>
      <c r="E11" t="s">
        <v>11</v>
      </c>
      <c r="F11">
        <v>256</v>
      </c>
      <c r="G11">
        <v>200</v>
      </c>
      <c r="H11" t="s">
        <v>13</v>
      </c>
      <c r="I11" s="20">
        <v>0.48699999999999999</v>
      </c>
      <c r="J11" s="2">
        <v>0.42399999999999999</v>
      </c>
      <c r="K11" s="2">
        <v>0.34</v>
      </c>
      <c r="L11" s="3">
        <f t="shared" si="0"/>
        <v>0.48699999999999999</v>
      </c>
      <c r="M11" s="20">
        <v>0.35899999999999999</v>
      </c>
      <c r="N11" s="2">
        <v>0.40899999999999997</v>
      </c>
      <c r="O11" s="2">
        <v>0.33200000000000002</v>
      </c>
      <c r="P11" s="3">
        <f t="shared" si="1"/>
        <v>0.40899999999999997</v>
      </c>
      <c r="Q11" s="20">
        <v>0.192</v>
      </c>
      <c r="R11" s="2">
        <v>0.247</v>
      </c>
      <c r="S11" s="2">
        <v>0.222</v>
      </c>
      <c r="T11" s="3">
        <f t="shared" si="2"/>
        <v>0.247</v>
      </c>
    </row>
    <row r="12" spans="2:20" x14ac:dyDescent="0.25">
      <c r="B12" s="1">
        <v>9</v>
      </c>
      <c r="C12" s="9" t="s">
        <v>6</v>
      </c>
      <c r="E12" t="s">
        <v>18</v>
      </c>
      <c r="F12">
        <v>256</v>
      </c>
      <c r="G12">
        <v>300</v>
      </c>
      <c r="H12" t="s">
        <v>13</v>
      </c>
      <c r="I12" s="20">
        <v>0.46700000000000003</v>
      </c>
      <c r="J12" s="2">
        <v>0.41499999999999998</v>
      </c>
      <c r="K12" s="2">
        <v>0.34799999999999998</v>
      </c>
      <c r="L12" s="3">
        <f t="shared" si="0"/>
        <v>0.46700000000000003</v>
      </c>
      <c r="M12" s="20">
        <v>0.34699999999999998</v>
      </c>
      <c r="N12" s="2">
        <v>0.38600000000000001</v>
      </c>
      <c r="O12" s="2">
        <v>0.32500000000000001</v>
      </c>
      <c r="P12" s="3">
        <f t="shared" si="1"/>
        <v>0.38600000000000001</v>
      </c>
      <c r="Q12" s="20">
        <v>0.19</v>
      </c>
      <c r="R12" s="2">
        <v>0.23300000000000001</v>
      </c>
      <c r="S12" s="2">
        <v>0.21199999999999999</v>
      </c>
      <c r="T12" s="3">
        <f t="shared" si="2"/>
        <v>0.23300000000000001</v>
      </c>
    </row>
    <row r="13" spans="2:20" x14ac:dyDescent="0.25">
      <c r="B13" s="1">
        <v>10</v>
      </c>
      <c r="C13" s="9" t="s">
        <v>6</v>
      </c>
      <c r="E13" t="s">
        <v>19</v>
      </c>
      <c r="F13">
        <v>512</v>
      </c>
      <c r="G13">
        <v>100</v>
      </c>
      <c r="H13" t="s">
        <v>13</v>
      </c>
      <c r="I13" s="20">
        <v>0.52500000000000002</v>
      </c>
      <c r="J13" s="2">
        <v>0.45400000000000001</v>
      </c>
      <c r="K13" s="2">
        <v>0.34799999999999998</v>
      </c>
      <c r="L13" s="3">
        <f t="shared" si="0"/>
        <v>0.52500000000000002</v>
      </c>
      <c r="M13" s="20">
        <v>0.41799999999999998</v>
      </c>
      <c r="N13" s="2">
        <v>0.44400000000000001</v>
      </c>
      <c r="O13" s="2">
        <v>0.34100000000000003</v>
      </c>
      <c r="P13" s="3">
        <f t="shared" si="1"/>
        <v>0.44400000000000001</v>
      </c>
      <c r="Q13" s="20">
        <v>0.223</v>
      </c>
      <c r="R13" s="2">
        <v>0.26800000000000002</v>
      </c>
      <c r="S13" s="2">
        <v>0.23400000000000001</v>
      </c>
      <c r="T13" s="3">
        <f t="shared" si="2"/>
        <v>0.26800000000000002</v>
      </c>
    </row>
    <row r="14" spans="2:20" x14ac:dyDescent="0.25">
      <c r="B14" s="1">
        <v>11</v>
      </c>
      <c r="C14" s="9" t="s">
        <v>6</v>
      </c>
      <c r="E14" t="s">
        <v>20</v>
      </c>
      <c r="F14">
        <v>512</v>
      </c>
      <c r="G14">
        <v>200</v>
      </c>
      <c r="H14" t="s">
        <v>25</v>
      </c>
      <c r="I14" s="20">
        <v>0.49299999999999999</v>
      </c>
      <c r="J14" s="2">
        <v>0.42699999999999999</v>
      </c>
      <c r="K14" s="2">
        <v>0.35499999999999998</v>
      </c>
      <c r="L14" s="3">
        <f t="shared" si="0"/>
        <v>0.49299999999999999</v>
      </c>
      <c r="M14" s="20">
        <v>0.40200000000000002</v>
      </c>
      <c r="N14" s="2">
        <v>0.40300000000000002</v>
      </c>
      <c r="O14" s="2">
        <v>0.33300000000000002</v>
      </c>
      <c r="P14" s="3">
        <f t="shared" si="1"/>
        <v>0.40300000000000002</v>
      </c>
      <c r="Q14" s="20">
        <v>0.218</v>
      </c>
      <c r="R14" s="2">
        <v>0.251</v>
      </c>
      <c r="S14" s="2">
        <v>0.23200000000000001</v>
      </c>
      <c r="T14" s="3">
        <f t="shared" si="2"/>
        <v>0.251</v>
      </c>
    </row>
    <row r="15" spans="2:20" x14ac:dyDescent="0.25">
      <c r="B15" s="1">
        <v>12</v>
      </c>
      <c r="C15" s="9" t="s">
        <v>6</v>
      </c>
      <c r="E15" t="s">
        <v>12</v>
      </c>
      <c r="F15">
        <v>512</v>
      </c>
      <c r="G15">
        <v>200</v>
      </c>
      <c r="H15" t="s">
        <v>13</v>
      </c>
      <c r="I15" s="20">
        <v>0.47299999999999998</v>
      </c>
      <c r="J15" s="2">
        <v>0.41299999999999998</v>
      </c>
      <c r="K15" s="2">
        <v>0.33500000000000002</v>
      </c>
      <c r="L15" s="3">
        <f t="shared" si="0"/>
        <v>0.47299999999999998</v>
      </c>
      <c r="M15" s="20">
        <v>0.377</v>
      </c>
      <c r="N15" s="2">
        <v>0.39</v>
      </c>
      <c r="O15" s="2">
        <v>0.32100000000000001</v>
      </c>
      <c r="P15" s="3">
        <f t="shared" si="1"/>
        <v>0.39</v>
      </c>
      <c r="Q15" s="20">
        <v>0.20200000000000001</v>
      </c>
      <c r="R15" s="2">
        <v>0.23799999999999999</v>
      </c>
      <c r="S15" s="2">
        <v>0.218</v>
      </c>
      <c r="T15" s="3">
        <f t="shared" si="2"/>
        <v>0.23799999999999999</v>
      </c>
    </row>
    <row r="16" spans="2:20" x14ac:dyDescent="0.25">
      <c r="B16" s="1">
        <v>13</v>
      </c>
      <c r="C16" s="9" t="s">
        <v>6</v>
      </c>
      <c r="E16" t="s">
        <v>21</v>
      </c>
      <c r="F16">
        <v>512</v>
      </c>
      <c r="G16">
        <v>200</v>
      </c>
      <c r="H16" t="s">
        <v>26</v>
      </c>
      <c r="I16" s="20">
        <v>0.47199999999999998</v>
      </c>
      <c r="J16" s="2">
        <v>0.41</v>
      </c>
      <c r="K16" s="2">
        <v>0.32900000000000001</v>
      </c>
      <c r="L16" s="3">
        <f t="shared" si="0"/>
        <v>0.47199999999999998</v>
      </c>
      <c r="M16" s="20">
        <v>0.372</v>
      </c>
      <c r="N16" s="2">
        <v>0.39</v>
      </c>
      <c r="O16" s="2">
        <v>0.31900000000000001</v>
      </c>
      <c r="P16" s="3">
        <f t="shared" si="1"/>
        <v>0.39</v>
      </c>
      <c r="Q16" s="20">
        <v>0.20200000000000001</v>
      </c>
      <c r="R16" s="2">
        <v>0.23799999999999999</v>
      </c>
      <c r="S16" s="2">
        <v>0.217</v>
      </c>
      <c r="T16" s="3">
        <f t="shared" si="2"/>
        <v>0.23799999999999999</v>
      </c>
    </row>
    <row r="17" spans="2:20" x14ac:dyDescent="0.25">
      <c r="B17" s="1">
        <v>14</v>
      </c>
      <c r="C17" s="9" t="s">
        <v>6</v>
      </c>
      <c r="E17" t="s">
        <v>22</v>
      </c>
      <c r="F17">
        <v>512</v>
      </c>
      <c r="G17">
        <v>200</v>
      </c>
      <c r="H17" t="s">
        <v>27</v>
      </c>
      <c r="I17" s="20">
        <v>0.497</v>
      </c>
      <c r="J17" s="2">
        <v>0.42799999999999999</v>
      </c>
      <c r="K17" s="2">
        <v>0.34100000000000003</v>
      </c>
      <c r="L17" s="3">
        <f t="shared" si="0"/>
        <v>0.497</v>
      </c>
      <c r="M17" s="20">
        <v>0.40899999999999997</v>
      </c>
      <c r="N17" s="2">
        <v>0.39500000000000002</v>
      </c>
      <c r="O17" s="2">
        <v>0.30599999999999999</v>
      </c>
      <c r="P17" s="3">
        <f t="shared" si="1"/>
        <v>0.40899999999999997</v>
      </c>
      <c r="Q17" s="20">
        <v>0.224</v>
      </c>
      <c r="R17" s="2">
        <v>0.249</v>
      </c>
      <c r="S17" s="2">
        <v>0.218</v>
      </c>
      <c r="T17" s="3">
        <f t="shared" si="2"/>
        <v>0.249</v>
      </c>
    </row>
    <row r="18" spans="2:20" x14ac:dyDescent="0.25">
      <c r="B18" s="1">
        <v>15</v>
      </c>
      <c r="C18" s="9" t="s">
        <v>6</v>
      </c>
      <c r="E18" t="s">
        <v>23</v>
      </c>
      <c r="F18">
        <v>512</v>
      </c>
      <c r="G18">
        <v>300</v>
      </c>
      <c r="H18" t="s">
        <v>13</v>
      </c>
      <c r="I18" s="20">
        <v>0.42799999999999999</v>
      </c>
      <c r="J18" s="2">
        <v>0.38700000000000001</v>
      </c>
      <c r="K18" s="2">
        <v>0.33300000000000002</v>
      </c>
      <c r="L18" s="3">
        <f t="shared" si="0"/>
        <v>0.42799999999999999</v>
      </c>
      <c r="M18" s="20">
        <v>0.32500000000000001</v>
      </c>
      <c r="N18" s="2">
        <v>0.34599999999999997</v>
      </c>
      <c r="O18" s="2">
        <v>0.3</v>
      </c>
      <c r="P18" s="3">
        <f t="shared" si="1"/>
        <v>0.34599999999999997</v>
      </c>
      <c r="Q18" s="20">
        <v>0.188</v>
      </c>
      <c r="R18" s="2">
        <v>0.214</v>
      </c>
      <c r="S18" s="2">
        <v>0.19900000000000001</v>
      </c>
      <c r="T18" s="3">
        <f t="shared" si="2"/>
        <v>0.214</v>
      </c>
    </row>
    <row r="19" spans="2:20" x14ac:dyDescent="0.25">
      <c r="B19" s="1">
        <v>16</v>
      </c>
      <c r="C19" s="9" t="s">
        <v>6</v>
      </c>
      <c r="D19" t="s">
        <v>24</v>
      </c>
      <c r="E19" t="s">
        <v>8</v>
      </c>
      <c r="F19">
        <v>128</v>
      </c>
      <c r="G19">
        <v>200</v>
      </c>
      <c r="H19" t="s">
        <v>13</v>
      </c>
      <c r="I19" s="20">
        <v>0.83399999999999996</v>
      </c>
      <c r="J19" s="2">
        <v>0.77700000000000002</v>
      </c>
      <c r="K19" s="2">
        <v>0.68799999999999994</v>
      </c>
      <c r="L19" s="3">
        <f t="shared" si="0"/>
        <v>0.83399999999999996</v>
      </c>
      <c r="M19" s="20">
        <v>0.56200000000000006</v>
      </c>
      <c r="N19" s="2">
        <v>0.75700000000000001</v>
      </c>
      <c r="O19" s="2">
        <v>0.68</v>
      </c>
      <c r="P19" s="3">
        <f t="shared" si="1"/>
        <v>0.75700000000000001</v>
      </c>
      <c r="Q19" s="20">
        <v>0.34799999999999998</v>
      </c>
      <c r="R19" s="2">
        <v>0.55500000000000005</v>
      </c>
      <c r="S19" s="2">
        <v>0.51500000000000001</v>
      </c>
      <c r="T19" s="3">
        <f t="shared" si="2"/>
        <v>0.55500000000000005</v>
      </c>
    </row>
    <row r="20" spans="2:20" x14ac:dyDescent="0.25">
      <c r="B20" s="1">
        <v>17</v>
      </c>
      <c r="C20" s="9" t="s">
        <v>6</v>
      </c>
      <c r="D20" t="s">
        <v>24</v>
      </c>
      <c r="E20" t="s">
        <v>11</v>
      </c>
      <c r="F20">
        <v>256</v>
      </c>
      <c r="G20">
        <v>200</v>
      </c>
      <c r="H20" t="s">
        <v>13</v>
      </c>
      <c r="I20" s="20">
        <v>0.85899999999999999</v>
      </c>
      <c r="J20" s="2">
        <v>0.81499999999999995</v>
      </c>
      <c r="K20" s="2">
        <v>0.72399999999999998</v>
      </c>
      <c r="L20" s="3">
        <f t="shared" si="0"/>
        <v>0.85899999999999999</v>
      </c>
      <c r="M20" s="20">
        <v>0.57299999999999995</v>
      </c>
      <c r="N20" s="2">
        <v>0.77500000000000002</v>
      </c>
      <c r="O20" s="2">
        <v>0.70099999999999996</v>
      </c>
      <c r="P20" s="3">
        <f t="shared" si="1"/>
        <v>0.77500000000000002</v>
      </c>
      <c r="Q20" s="20">
        <v>0.36299999999999999</v>
      </c>
      <c r="R20" s="2">
        <v>0.58199999999999996</v>
      </c>
      <c r="S20" s="2">
        <v>0.55700000000000005</v>
      </c>
      <c r="T20" s="3">
        <f t="shared" si="2"/>
        <v>0.58199999999999996</v>
      </c>
    </row>
    <row r="21" spans="2:20" x14ac:dyDescent="0.25">
      <c r="B21" s="1">
        <v>18</v>
      </c>
      <c r="C21" s="9" t="s">
        <v>6</v>
      </c>
      <c r="D21" t="s">
        <v>24</v>
      </c>
      <c r="E21" t="s">
        <v>12</v>
      </c>
      <c r="F21">
        <v>512</v>
      </c>
      <c r="G21">
        <v>200</v>
      </c>
      <c r="H21" t="s">
        <v>13</v>
      </c>
      <c r="I21" s="20">
        <v>0.86299999999999999</v>
      </c>
      <c r="J21" s="2">
        <v>0.82299999999999995</v>
      </c>
      <c r="K21" s="2">
        <v>0.71699999999999997</v>
      </c>
      <c r="L21" s="3">
        <f t="shared" si="0"/>
        <v>0.86299999999999999</v>
      </c>
      <c r="M21" s="20">
        <v>0.626</v>
      </c>
      <c r="N21" s="2">
        <v>0.78</v>
      </c>
      <c r="O21" s="2">
        <v>0.69099999999999995</v>
      </c>
      <c r="P21" s="3">
        <f t="shared" si="1"/>
        <v>0.78</v>
      </c>
      <c r="Q21" s="20">
        <v>0.41799999999999998</v>
      </c>
      <c r="R21" s="2">
        <v>0.59</v>
      </c>
      <c r="S21" s="2">
        <v>0.55900000000000005</v>
      </c>
      <c r="T21" s="3">
        <f t="shared" si="2"/>
        <v>0.59</v>
      </c>
    </row>
    <row r="22" spans="2:20" x14ac:dyDescent="0.25">
      <c r="B22" s="1">
        <v>19</v>
      </c>
      <c r="C22" s="9" t="s">
        <v>28</v>
      </c>
      <c r="E22" t="s">
        <v>8</v>
      </c>
      <c r="F22">
        <v>128</v>
      </c>
      <c r="G22">
        <v>200</v>
      </c>
      <c r="H22" t="s">
        <v>13</v>
      </c>
      <c r="I22" s="20">
        <v>0.23499999999999999</v>
      </c>
      <c r="J22" s="2">
        <v>0.24</v>
      </c>
      <c r="K22" s="2">
        <v>0.24</v>
      </c>
      <c r="L22" s="3">
        <f t="shared" si="0"/>
        <v>0.24</v>
      </c>
      <c r="M22" s="20">
        <v>0.27</v>
      </c>
      <c r="N22" s="2">
        <v>0.36599999999999999</v>
      </c>
      <c r="O22" s="2">
        <v>0.38400000000000001</v>
      </c>
      <c r="P22" s="3">
        <f t="shared" si="1"/>
        <v>0.38400000000000001</v>
      </c>
      <c r="Q22" s="20">
        <v>0.15</v>
      </c>
      <c r="R22" s="2">
        <v>0.19800000000000001</v>
      </c>
      <c r="S22" s="2">
        <v>0.20799999999999999</v>
      </c>
      <c r="T22" s="3">
        <f t="shared" si="2"/>
        <v>0.20799999999999999</v>
      </c>
    </row>
    <row r="23" spans="2:20" x14ac:dyDescent="0.25">
      <c r="B23" s="1">
        <v>20</v>
      </c>
      <c r="C23" s="9" t="s">
        <v>28</v>
      </c>
      <c r="E23" t="s">
        <v>17</v>
      </c>
      <c r="F23">
        <v>256</v>
      </c>
      <c r="G23">
        <v>100</v>
      </c>
      <c r="H23" t="s">
        <v>13</v>
      </c>
      <c r="I23" s="20">
        <v>0.32900000000000001</v>
      </c>
      <c r="J23" s="2">
        <v>0.33200000000000002</v>
      </c>
      <c r="K23" s="2">
        <v>0.33100000000000002</v>
      </c>
      <c r="L23" s="3">
        <f t="shared" si="0"/>
        <v>0.33200000000000002</v>
      </c>
      <c r="M23" s="20">
        <v>0.312</v>
      </c>
      <c r="N23" s="2">
        <v>0.40699999999999997</v>
      </c>
      <c r="O23" s="2">
        <v>0.42099999999999999</v>
      </c>
      <c r="P23" s="3">
        <f t="shared" si="1"/>
        <v>0.42099999999999999</v>
      </c>
      <c r="Q23" s="20">
        <v>0.17499999999999999</v>
      </c>
      <c r="R23" s="2">
        <v>0.22800000000000001</v>
      </c>
      <c r="S23" s="2">
        <v>0.23599999999999999</v>
      </c>
      <c r="T23" s="3">
        <f t="shared" si="2"/>
        <v>0.23599999999999999</v>
      </c>
    </row>
    <row r="24" spans="2:20" x14ac:dyDescent="0.25">
      <c r="B24" s="1">
        <v>21</v>
      </c>
      <c r="C24" s="9" t="s">
        <v>28</v>
      </c>
      <c r="E24" t="s">
        <v>11</v>
      </c>
      <c r="F24">
        <v>256</v>
      </c>
      <c r="G24">
        <v>200</v>
      </c>
      <c r="H24" t="s">
        <v>13</v>
      </c>
      <c r="I24" s="20">
        <v>0.33</v>
      </c>
      <c r="J24" s="2">
        <v>0.33500000000000002</v>
      </c>
      <c r="K24" s="2">
        <v>0.33400000000000002</v>
      </c>
      <c r="L24" s="3">
        <f t="shared" si="0"/>
        <v>0.33500000000000002</v>
      </c>
      <c r="M24" s="20">
        <v>0.33600000000000002</v>
      </c>
      <c r="N24" s="2">
        <v>0.41199999999999998</v>
      </c>
      <c r="O24" s="2">
        <v>0.42</v>
      </c>
      <c r="P24" s="3">
        <f t="shared" si="1"/>
        <v>0.42</v>
      </c>
      <c r="Q24" s="20">
        <v>0.188</v>
      </c>
      <c r="R24" s="2">
        <v>0.22900000000000001</v>
      </c>
      <c r="S24" s="2">
        <v>0.23499999999999999</v>
      </c>
      <c r="T24" s="3">
        <f t="shared" si="2"/>
        <v>0.23499999999999999</v>
      </c>
    </row>
    <row r="25" spans="2:20" x14ac:dyDescent="0.25">
      <c r="B25" s="1">
        <v>22</v>
      </c>
      <c r="C25" s="9" t="s">
        <v>28</v>
      </c>
      <c r="E25" t="s">
        <v>19</v>
      </c>
      <c r="F25">
        <v>512</v>
      </c>
      <c r="G25">
        <v>100</v>
      </c>
      <c r="H25" t="s">
        <v>13</v>
      </c>
      <c r="I25" s="20">
        <v>0.29599999999999999</v>
      </c>
      <c r="J25" s="2">
        <v>0.30099999999999999</v>
      </c>
      <c r="K25" s="2">
        <v>0.30099999999999999</v>
      </c>
      <c r="L25" s="3">
        <f t="shared" si="0"/>
        <v>0.30099999999999999</v>
      </c>
      <c r="M25" s="20">
        <v>0.32</v>
      </c>
      <c r="N25" s="2">
        <v>0.41099999999999998</v>
      </c>
      <c r="O25" s="2">
        <v>0.42299999999999999</v>
      </c>
      <c r="P25" s="3">
        <f t="shared" si="1"/>
        <v>0.42299999999999999</v>
      </c>
      <c r="Q25" s="20">
        <v>0.182</v>
      </c>
      <c r="R25" s="2">
        <v>0.23400000000000001</v>
      </c>
      <c r="S25" s="2">
        <v>0.24399999999999999</v>
      </c>
      <c r="T25" s="3">
        <f t="shared" si="2"/>
        <v>0.24399999999999999</v>
      </c>
    </row>
    <row r="26" spans="2:20" x14ac:dyDescent="0.25">
      <c r="B26" s="1">
        <v>23</v>
      </c>
      <c r="C26" s="9" t="s">
        <v>28</v>
      </c>
      <c r="E26" t="s">
        <v>12</v>
      </c>
      <c r="F26">
        <v>512</v>
      </c>
      <c r="G26">
        <v>200</v>
      </c>
      <c r="H26" t="s">
        <v>13</v>
      </c>
      <c r="I26" s="20">
        <v>0.26700000000000002</v>
      </c>
      <c r="J26" s="2">
        <v>0.27700000000000002</v>
      </c>
      <c r="K26" s="2">
        <v>0.28100000000000003</v>
      </c>
      <c r="L26" s="3">
        <f t="shared" si="0"/>
        <v>0.28100000000000003</v>
      </c>
      <c r="M26" s="20">
        <v>0.30599999999999999</v>
      </c>
      <c r="N26" s="2">
        <v>0.38100000000000001</v>
      </c>
      <c r="O26" s="2">
        <v>0.38600000000000001</v>
      </c>
      <c r="P26" s="3">
        <f t="shared" si="1"/>
        <v>0.38600000000000001</v>
      </c>
      <c r="Q26" s="20">
        <v>0.17699999999999999</v>
      </c>
      <c r="R26" s="2">
        <v>0.217</v>
      </c>
      <c r="S26" s="2">
        <v>0.222</v>
      </c>
      <c r="T26" s="3">
        <f t="shared" si="2"/>
        <v>0.222</v>
      </c>
    </row>
    <row r="27" spans="2:20" x14ac:dyDescent="0.25">
      <c r="B27" s="1">
        <v>24</v>
      </c>
      <c r="C27" s="9" t="s">
        <v>28</v>
      </c>
      <c r="D27" t="s">
        <v>32</v>
      </c>
      <c r="E27" t="s">
        <v>8</v>
      </c>
      <c r="F27">
        <v>128</v>
      </c>
      <c r="G27">
        <v>200</v>
      </c>
      <c r="H27" t="s">
        <v>13</v>
      </c>
      <c r="I27" s="20">
        <v>0.311</v>
      </c>
      <c r="J27" s="2">
        <v>0.313</v>
      </c>
      <c r="K27" s="2">
        <v>0.29599999999999999</v>
      </c>
      <c r="L27" s="3">
        <f t="shared" si="0"/>
        <v>0.313</v>
      </c>
      <c r="M27" s="20">
        <v>0.249</v>
      </c>
      <c r="N27" s="2">
        <v>0.371</v>
      </c>
      <c r="O27" s="2">
        <v>0.376</v>
      </c>
      <c r="P27" s="3">
        <f t="shared" si="1"/>
        <v>0.376</v>
      </c>
      <c r="Q27" s="20">
        <v>0.13100000000000001</v>
      </c>
      <c r="R27" s="2">
        <v>0.2</v>
      </c>
      <c r="S27" s="2">
        <v>0.20899999999999999</v>
      </c>
      <c r="T27" s="3">
        <f t="shared" si="2"/>
        <v>0.20899999999999999</v>
      </c>
    </row>
    <row r="28" spans="2:20" x14ac:dyDescent="0.25">
      <c r="B28" s="1">
        <v>25</v>
      </c>
      <c r="C28" s="9" t="s">
        <v>28</v>
      </c>
      <c r="D28" t="s">
        <v>32</v>
      </c>
      <c r="E28" t="s">
        <v>11</v>
      </c>
      <c r="F28">
        <v>256</v>
      </c>
      <c r="G28">
        <v>200</v>
      </c>
      <c r="H28" t="s">
        <v>13</v>
      </c>
      <c r="I28" s="20">
        <v>0.34799999999999998</v>
      </c>
      <c r="J28" s="2">
        <v>0.35199999999999998</v>
      </c>
      <c r="K28" s="2">
        <v>0.34300000000000003</v>
      </c>
      <c r="L28" s="3">
        <f t="shared" si="0"/>
        <v>0.35199999999999998</v>
      </c>
      <c r="M28" s="20">
        <v>0.34100000000000003</v>
      </c>
      <c r="N28" s="2">
        <v>0.39900000000000002</v>
      </c>
      <c r="O28" s="2">
        <v>0.39300000000000002</v>
      </c>
      <c r="P28" s="3">
        <f t="shared" si="1"/>
        <v>0.39900000000000002</v>
      </c>
      <c r="Q28" s="20">
        <v>0.192</v>
      </c>
      <c r="R28" s="2">
        <v>0.223</v>
      </c>
      <c r="S28" s="2">
        <v>0.22600000000000001</v>
      </c>
      <c r="T28" s="3">
        <f t="shared" si="2"/>
        <v>0.22600000000000001</v>
      </c>
    </row>
    <row r="29" spans="2:20" x14ac:dyDescent="0.25">
      <c r="B29" s="1">
        <v>26</v>
      </c>
      <c r="C29" s="9" t="s">
        <v>28</v>
      </c>
      <c r="D29" t="s">
        <v>32</v>
      </c>
      <c r="E29" t="s">
        <v>12</v>
      </c>
      <c r="F29">
        <v>512</v>
      </c>
      <c r="G29">
        <v>200</v>
      </c>
      <c r="H29" t="s">
        <v>13</v>
      </c>
      <c r="I29" s="20">
        <v>0.29699999999999999</v>
      </c>
      <c r="J29" s="2">
        <v>0.30499999999999999</v>
      </c>
      <c r="K29" s="2">
        <v>0.30099999999999999</v>
      </c>
      <c r="L29" s="3">
        <f t="shared" si="0"/>
        <v>0.30499999999999999</v>
      </c>
      <c r="M29" s="20">
        <v>0.32500000000000001</v>
      </c>
      <c r="N29" s="2">
        <v>0.376</v>
      </c>
      <c r="O29" s="2">
        <v>0.372</v>
      </c>
      <c r="P29" s="3">
        <f t="shared" si="1"/>
        <v>0.376</v>
      </c>
      <c r="Q29" s="20">
        <v>0.185</v>
      </c>
      <c r="R29" s="2">
        <v>0.21299999999999999</v>
      </c>
      <c r="S29" s="2">
        <v>0.216</v>
      </c>
      <c r="T29" s="3">
        <f t="shared" si="2"/>
        <v>0.216</v>
      </c>
    </row>
    <row r="30" spans="2:20" x14ac:dyDescent="0.25">
      <c r="B30" s="1">
        <v>27</v>
      </c>
      <c r="C30" s="9" t="s">
        <v>28</v>
      </c>
      <c r="D30" t="s">
        <v>33</v>
      </c>
      <c r="E30" t="s">
        <v>8</v>
      </c>
      <c r="F30">
        <v>128</v>
      </c>
      <c r="G30">
        <v>200</v>
      </c>
      <c r="H30" t="s">
        <v>13</v>
      </c>
      <c r="I30" s="20">
        <v>0.34899999999999998</v>
      </c>
      <c r="J30" s="2">
        <v>0.34200000000000003</v>
      </c>
      <c r="K30" s="2">
        <v>0.29299999999999998</v>
      </c>
      <c r="L30" s="3">
        <f t="shared" si="0"/>
        <v>0.34899999999999998</v>
      </c>
      <c r="M30" s="20">
        <v>0.254</v>
      </c>
      <c r="N30" s="2">
        <v>0.371</v>
      </c>
      <c r="O30" s="2">
        <v>0.34499999999999997</v>
      </c>
      <c r="P30" s="3">
        <f t="shared" si="1"/>
        <v>0.371</v>
      </c>
      <c r="Q30" s="20">
        <v>0.13100000000000001</v>
      </c>
      <c r="R30" s="2">
        <v>0.20300000000000001</v>
      </c>
      <c r="S30" s="2">
        <v>0.20399999999999999</v>
      </c>
      <c r="T30" s="3">
        <f t="shared" si="2"/>
        <v>0.20399999999999999</v>
      </c>
    </row>
    <row r="31" spans="2:20" x14ac:dyDescent="0.25">
      <c r="B31" s="1">
        <v>28</v>
      </c>
      <c r="C31" s="9" t="s">
        <v>28</v>
      </c>
      <c r="D31" t="s">
        <v>33</v>
      </c>
      <c r="E31" t="s">
        <v>11</v>
      </c>
      <c r="F31">
        <v>256</v>
      </c>
      <c r="G31">
        <v>200</v>
      </c>
      <c r="H31" t="s">
        <v>13</v>
      </c>
      <c r="I31" s="20">
        <v>0.372</v>
      </c>
      <c r="J31" s="2">
        <v>0.372</v>
      </c>
      <c r="K31" s="2">
        <v>0.33600000000000002</v>
      </c>
      <c r="L31" s="3">
        <f t="shared" si="0"/>
        <v>0.372</v>
      </c>
      <c r="M31" s="20">
        <v>0.35</v>
      </c>
      <c r="N31" s="2">
        <v>0.39100000000000001</v>
      </c>
      <c r="O31" s="2">
        <v>0.35599999999999998</v>
      </c>
      <c r="P31" s="3">
        <f t="shared" si="1"/>
        <v>0.39100000000000001</v>
      </c>
      <c r="Q31" s="20">
        <v>0.20300000000000001</v>
      </c>
      <c r="R31" s="2">
        <v>0.22700000000000001</v>
      </c>
      <c r="S31" s="2">
        <v>0.22</v>
      </c>
      <c r="T31" s="3">
        <f t="shared" si="2"/>
        <v>0.22700000000000001</v>
      </c>
    </row>
    <row r="32" spans="2:20" x14ac:dyDescent="0.25">
      <c r="B32" s="1">
        <v>29</v>
      </c>
      <c r="C32" s="9" t="s">
        <v>28</v>
      </c>
      <c r="D32" t="s">
        <v>33</v>
      </c>
      <c r="E32" t="s">
        <v>12</v>
      </c>
      <c r="F32">
        <v>512</v>
      </c>
      <c r="G32">
        <v>200</v>
      </c>
      <c r="H32" t="s">
        <v>13</v>
      </c>
      <c r="I32" s="20">
        <v>0.32500000000000001</v>
      </c>
      <c r="J32" s="2">
        <v>0.32500000000000001</v>
      </c>
      <c r="K32" s="2">
        <v>0.29499999999999998</v>
      </c>
      <c r="L32" s="3">
        <f t="shared" si="0"/>
        <v>0.32500000000000001</v>
      </c>
      <c r="M32" s="20">
        <v>0.33200000000000002</v>
      </c>
      <c r="N32" s="2">
        <v>0.37</v>
      </c>
      <c r="O32" s="2">
        <v>0.33</v>
      </c>
      <c r="P32" s="3">
        <f t="shared" si="1"/>
        <v>0.37</v>
      </c>
      <c r="Q32" s="20">
        <v>0.19500000000000001</v>
      </c>
      <c r="R32" s="2">
        <v>0.217</v>
      </c>
      <c r="S32" s="2">
        <v>0.20799999999999999</v>
      </c>
      <c r="T32" s="3">
        <f t="shared" si="2"/>
        <v>0.217</v>
      </c>
    </row>
    <row r="33" spans="2:20" x14ac:dyDescent="0.25">
      <c r="B33" s="1">
        <v>30</v>
      </c>
      <c r="C33" s="9" t="s">
        <v>28</v>
      </c>
      <c r="D33" t="s">
        <v>34</v>
      </c>
      <c r="E33" t="s">
        <v>29</v>
      </c>
      <c r="F33">
        <v>128</v>
      </c>
      <c r="G33">
        <v>200</v>
      </c>
      <c r="H33" t="s">
        <v>13</v>
      </c>
      <c r="I33" s="20">
        <v>0.16800000000000001</v>
      </c>
      <c r="J33" s="2">
        <v>0.183</v>
      </c>
      <c r="K33" s="2">
        <v>0.186</v>
      </c>
      <c r="L33" s="3">
        <f t="shared" si="0"/>
        <v>0.186</v>
      </c>
      <c r="M33" s="20">
        <v>0.188</v>
      </c>
      <c r="N33" s="2">
        <v>0.247</v>
      </c>
      <c r="O33" s="2">
        <v>0.26100000000000001</v>
      </c>
      <c r="P33" s="3">
        <f t="shared" si="1"/>
        <v>0.26100000000000001</v>
      </c>
      <c r="Q33" s="20">
        <v>0.11899999999999999</v>
      </c>
      <c r="R33" s="2">
        <v>0.13300000000000001</v>
      </c>
      <c r="S33" s="2">
        <v>0.13900000000000001</v>
      </c>
      <c r="T33" s="3">
        <f t="shared" si="2"/>
        <v>0.13900000000000001</v>
      </c>
    </row>
    <row r="34" spans="2:20" x14ac:dyDescent="0.25">
      <c r="B34" s="1">
        <v>31</v>
      </c>
      <c r="C34" s="9" t="s">
        <v>28</v>
      </c>
      <c r="D34" t="s">
        <v>34</v>
      </c>
      <c r="E34" t="s">
        <v>31</v>
      </c>
      <c r="F34">
        <v>256</v>
      </c>
      <c r="G34">
        <v>200</v>
      </c>
      <c r="H34" t="s">
        <v>13</v>
      </c>
      <c r="I34" s="20">
        <v>0.29799999999999999</v>
      </c>
      <c r="J34" s="2">
        <v>0.31</v>
      </c>
      <c r="K34" s="2">
        <v>0.311</v>
      </c>
      <c r="L34" s="3">
        <f t="shared" si="0"/>
        <v>0.311</v>
      </c>
      <c r="M34" s="20">
        <v>0.28899999999999998</v>
      </c>
      <c r="N34" s="2">
        <v>0.35199999999999998</v>
      </c>
      <c r="O34" s="2">
        <v>0.36599999999999999</v>
      </c>
      <c r="P34" s="3">
        <f t="shared" si="1"/>
        <v>0.36599999999999999</v>
      </c>
      <c r="Q34" s="20">
        <v>0.17599999999999999</v>
      </c>
      <c r="R34" s="2">
        <v>0.2</v>
      </c>
      <c r="S34" s="2">
        <v>0.20699999999999999</v>
      </c>
      <c r="T34" s="3">
        <f t="shared" si="2"/>
        <v>0.20699999999999999</v>
      </c>
    </row>
    <row r="35" spans="2:20" x14ac:dyDescent="0.25">
      <c r="B35" s="1">
        <v>32</v>
      </c>
      <c r="C35" s="9" t="s">
        <v>28</v>
      </c>
      <c r="D35" t="s">
        <v>34</v>
      </c>
      <c r="E35" t="s">
        <v>30</v>
      </c>
      <c r="F35">
        <v>512</v>
      </c>
      <c r="G35">
        <v>200</v>
      </c>
      <c r="H35" t="s">
        <v>13</v>
      </c>
      <c r="I35" s="20">
        <v>0.26900000000000002</v>
      </c>
      <c r="J35" s="2">
        <v>0.28000000000000003</v>
      </c>
      <c r="K35" s="2">
        <v>0.28299999999999997</v>
      </c>
      <c r="L35" s="3">
        <f t="shared" si="0"/>
        <v>0.28299999999999997</v>
      </c>
      <c r="M35" s="20">
        <v>0.28899999999999998</v>
      </c>
      <c r="N35" s="2">
        <v>0.373</v>
      </c>
      <c r="O35" s="2">
        <v>0.38200000000000001</v>
      </c>
      <c r="P35" s="3">
        <f t="shared" si="1"/>
        <v>0.38200000000000001</v>
      </c>
      <c r="Q35" s="20">
        <v>0.161</v>
      </c>
      <c r="R35" s="2">
        <v>0.20799999999999999</v>
      </c>
      <c r="S35" s="2">
        <v>0.215</v>
      </c>
      <c r="T35" s="3">
        <f t="shared" si="2"/>
        <v>0.215</v>
      </c>
    </row>
    <row r="36" spans="2:20" x14ac:dyDescent="0.25">
      <c r="B36" s="1">
        <v>33</v>
      </c>
      <c r="C36" s="9" t="s">
        <v>35</v>
      </c>
      <c r="E36" t="s">
        <v>8</v>
      </c>
      <c r="F36">
        <v>128</v>
      </c>
      <c r="G36">
        <v>200</v>
      </c>
      <c r="H36" t="s">
        <v>13</v>
      </c>
      <c r="I36" s="20">
        <v>0.249</v>
      </c>
      <c r="J36" s="2">
        <v>0.254</v>
      </c>
      <c r="K36" s="2">
        <v>0.25</v>
      </c>
      <c r="L36" s="3">
        <f t="shared" si="0"/>
        <v>0.254</v>
      </c>
      <c r="M36" s="20">
        <v>0.20799999999999999</v>
      </c>
      <c r="N36" s="2">
        <v>0.311</v>
      </c>
      <c r="O36" s="2">
        <v>0.35</v>
      </c>
      <c r="P36" s="3">
        <f t="shared" si="1"/>
        <v>0.35</v>
      </c>
      <c r="Q36" s="20">
        <v>0.111</v>
      </c>
      <c r="R36" s="2">
        <v>0.159</v>
      </c>
      <c r="S36" s="2">
        <v>0.182</v>
      </c>
      <c r="T36" s="3">
        <f t="shared" si="2"/>
        <v>0.182</v>
      </c>
    </row>
    <row r="37" spans="2:20" x14ac:dyDescent="0.25">
      <c r="B37" s="1">
        <v>34</v>
      </c>
      <c r="C37" s="9" t="s">
        <v>35</v>
      </c>
      <c r="E37" t="s">
        <v>17</v>
      </c>
      <c r="F37">
        <v>256</v>
      </c>
      <c r="G37">
        <v>100</v>
      </c>
      <c r="H37" t="s">
        <v>13</v>
      </c>
      <c r="I37" s="20">
        <v>0.33100000000000002</v>
      </c>
      <c r="J37" s="2">
        <v>0.33400000000000002</v>
      </c>
      <c r="K37" s="2">
        <v>0.32900000000000001</v>
      </c>
      <c r="L37" s="3">
        <f t="shared" si="0"/>
        <v>0.33400000000000002</v>
      </c>
      <c r="M37" s="20">
        <v>0.24</v>
      </c>
      <c r="N37" s="2">
        <v>0.35499999999999998</v>
      </c>
      <c r="O37" s="2">
        <v>0.39900000000000002</v>
      </c>
      <c r="P37" s="3">
        <f t="shared" si="1"/>
        <v>0.39900000000000002</v>
      </c>
      <c r="Q37" s="20">
        <v>0.13300000000000001</v>
      </c>
      <c r="R37" s="2">
        <v>0.19</v>
      </c>
      <c r="S37" s="2">
        <v>0.219</v>
      </c>
      <c r="T37" s="3">
        <f t="shared" si="2"/>
        <v>0.219</v>
      </c>
    </row>
    <row r="38" spans="2:20" x14ac:dyDescent="0.25">
      <c r="B38" s="1">
        <v>35</v>
      </c>
      <c r="C38" s="9" t="s">
        <v>35</v>
      </c>
      <c r="E38" t="s">
        <v>11</v>
      </c>
      <c r="F38">
        <v>256</v>
      </c>
      <c r="G38">
        <v>200</v>
      </c>
      <c r="H38" t="s">
        <v>13</v>
      </c>
      <c r="I38" s="20">
        <v>0.33600000000000002</v>
      </c>
      <c r="J38" s="2">
        <v>0.33900000000000002</v>
      </c>
      <c r="K38" s="2">
        <v>0.33700000000000002</v>
      </c>
      <c r="L38" s="3">
        <f t="shared" si="0"/>
        <v>0.33900000000000002</v>
      </c>
      <c r="M38" s="20">
        <v>0.29299999999999998</v>
      </c>
      <c r="N38" s="2">
        <v>0.38500000000000001</v>
      </c>
      <c r="O38" s="2">
        <v>0.40899999999999997</v>
      </c>
      <c r="P38" s="3">
        <f t="shared" si="1"/>
        <v>0.40899999999999997</v>
      </c>
      <c r="Q38" s="20">
        <v>0.16600000000000001</v>
      </c>
      <c r="R38" s="2">
        <v>0.21199999999999999</v>
      </c>
      <c r="S38" s="2">
        <v>0.22900000000000001</v>
      </c>
      <c r="T38" s="3">
        <f t="shared" si="2"/>
        <v>0.22900000000000001</v>
      </c>
    </row>
    <row r="39" spans="2:20" x14ac:dyDescent="0.25">
      <c r="B39" s="1">
        <v>36</v>
      </c>
      <c r="C39" s="9" t="s">
        <v>35</v>
      </c>
      <c r="E39" t="s">
        <v>19</v>
      </c>
      <c r="F39">
        <v>512</v>
      </c>
      <c r="G39">
        <v>100</v>
      </c>
      <c r="H39" t="s">
        <v>13</v>
      </c>
      <c r="I39" s="20">
        <v>0.35099999999999998</v>
      </c>
      <c r="J39" s="2">
        <v>0.34699999999999998</v>
      </c>
      <c r="K39" s="2">
        <v>0.33100000000000002</v>
      </c>
      <c r="L39" s="3">
        <f t="shared" si="0"/>
        <v>0.35099999999999998</v>
      </c>
      <c r="M39" s="20">
        <v>0.217</v>
      </c>
      <c r="N39" s="2">
        <v>0.308</v>
      </c>
      <c r="O39" s="2">
        <v>0.38700000000000001</v>
      </c>
      <c r="P39" s="3">
        <f t="shared" si="1"/>
        <v>0.38700000000000001</v>
      </c>
      <c r="Q39" s="20">
        <v>0.111</v>
      </c>
      <c r="R39" s="2">
        <v>0.156</v>
      </c>
      <c r="S39" s="2">
        <v>0.219</v>
      </c>
      <c r="T39" s="3">
        <f t="shared" si="2"/>
        <v>0.219</v>
      </c>
    </row>
    <row r="40" spans="2:20" x14ac:dyDescent="0.25">
      <c r="B40" s="1">
        <v>37</v>
      </c>
      <c r="C40" s="9" t="s">
        <v>35</v>
      </c>
      <c r="E40" t="s">
        <v>12</v>
      </c>
      <c r="F40">
        <v>512</v>
      </c>
      <c r="G40">
        <v>200</v>
      </c>
      <c r="H40" t="s">
        <v>13</v>
      </c>
      <c r="I40" s="20">
        <v>0.30399999999999999</v>
      </c>
      <c r="J40" s="2">
        <v>0.30299999999999999</v>
      </c>
      <c r="K40" s="2">
        <v>0.29099999999999998</v>
      </c>
      <c r="L40" s="3">
        <f t="shared" si="0"/>
        <v>0.30399999999999999</v>
      </c>
      <c r="M40" s="20">
        <v>0.219</v>
      </c>
      <c r="N40" s="2">
        <v>0.30599999999999999</v>
      </c>
      <c r="O40" s="2">
        <v>0.34599999999999997</v>
      </c>
      <c r="P40" s="3">
        <f t="shared" si="1"/>
        <v>0.34599999999999997</v>
      </c>
      <c r="Q40" s="20">
        <v>0.113</v>
      </c>
      <c r="R40" s="2">
        <v>0.159</v>
      </c>
      <c r="S40" s="2">
        <v>0.191</v>
      </c>
      <c r="T40" s="3">
        <f t="shared" si="2"/>
        <v>0.191</v>
      </c>
    </row>
    <row r="41" spans="2:20" x14ac:dyDescent="0.25">
      <c r="B41" s="1">
        <v>38</v>
      </c>
      <c r="C41" s="9" t="s">
        <v>35</v>
      </c>
      <c r="D41" t="s">
        <v>32</v>
      </c>
      <c r="E41" t="s">
        <v>8</v>
      </c>
      <c r="F41">
        <v>128</v>
      </c>
      <c r="G41">
        <v>200</v>
      </c>
      <c r="H41" t="s">
        <v>13</v>
      </c>
      <c r="I41" s="9">
        <v>0.32300000000000001</v>
      </c>
      <c r="J41" s="2">
        <v>0.32500000000000001</v>
      </c>
      <c r="K41" s="2">
        <v>0.30399999999999999</v>
      </c>
      <c r="L41" s="3">
        <f t="shared" si="0"/>
        <v>0.32500000000000001</v>
      </c>
      <c r="M41" s="9">
        <v>0.22500000000000001</v>
      </c>
      <c r="N41" s="2">
        <v>0.34200000000000003</v>
      </c>
      <c r="O41" s="2">
        <v>0.38200000000000001</v>
      </c>
      <c r="P41" s="3">
        <f t="shared" si="1"/>
        <v>0.38200000000000001</v>
      </c>
      <c r="Q41" s="9">
        <v>0.11899999999999999</v>
      </c>
      <c r="R41" s="2">
        <v>0.184</v>
      </c>
      <c r="S41" s="2">
        <v>0.214</v>
      </c>
      <c r="T41" s="3">
        <f t="shared" si="2"/>
        <v>0.214</v>
      </c>
    </row>
    <row r="42" spans="2:20" x14ac:dyDescent="0.25">
      <c r="B42" s="1">
        <v>39</v>
      </c>
      <c r="C42" s="9" t="s">
        <v>35</v>
      </c>
      <c r="D42" t="s">
        <v>32</v>
      </c>
      <c r="E42" t="s">
        <v>11</v>
      </c>
      <c r="F42">
        <v>256</v>
      </c>
      <c r="G42">
        <v>200</v>
      </c>
      <c r="H42" t="s">
        <v>13</v>
      </c>
      <c r="I42" s="9">
        <v>0.36099999999999999</v>
      </c>
      <c r="J42" s="2">
        <v>0.36499999999999999</v>
      </c>
      <c r="K42" s="2">
        <v>0.35299999999999998</v>
      </c>
      <c r="L42" s="3">
        <f t="shared" si="0"/>
        <v>0.36499999999999999</v>
      </c>
      <c r="M42" s="9">
        <v>0.32200000000000001</v>
      </c>
      <c r="N42" s="2">
        <v>0.39400000000000002</v>
      </c>
      <c r="O42" s="2">
        <v>0.40400000000000003</v>
      </c>
      <c r="P42" s="3">
        <f t="shared" si="1"/>
        <v>0.40400000000000003</v>
      </c>
      <c r="Q42" s="9">
        <v>0.182</v>
      </c>
      <c r="R42" s="2">
        <v>0.218</v>
      </c>
      <c r="S42" s="2">
        <v>0.23599999999999999</v>
      </c>
      <c r="T42" s="3">
        <f t="shared" si="2"/>
        <v>0.23599999999999999</v>
      </c>
    </row>
    <row r="43" spans="2:20" x14ac:dyDescent="0.25">
      <c r="B43" s="1">
        <v>40</v>
      </c>
      <c r="C43" s="9" t="s">
        <v>35</v>
      </c>
      <c r="D43" t="s">
        <v>32</v>
      </c>
      <c r="E43" t="s">
        <v>12</v>
      </c>
      <c r="F43">
        <v>512</v>
      </c>
      <c r="G43">
        <v>200</v>
      </c>
      <c r="H43" t="s">
        <v>13</v>
      </c>
      <c r="I43" s="9">
        <v>0.32500000000000001</v>
      </c>
      <c r="J43" s="2">
        <v>0.32</v>
      </c>
      <c r="K43" s="2">
        <v>0.29799999999999999</v>
      </c>
      <c r="L43" s="3">
        <f t="shared" si="0"/>
        <v>0.32500000000000001</v>
      </c>
      <c r="M43" s="9">
        <v>0.27600000000000002</v>
      </c>
      <c r="N43" s="2">
        <v>0.34799999999999998</v>
      </c>
      <c r="O43" s="2">
        <v>0.374</v>
      </c>
      <c r="P43" s="3">
        <f t="shared" si="1"/>
        <v>0.374</v>
      </c>
      <c r="Q43" s="9">
        <v>0.14699999999999999</v>
      </c>
      <c r="R43" s="2">
        <v>0.186</v>
      </c>
      <c r="S43" s="2">
        <v>0.223</v>
      </c>
      <c r="T43" s="3">
        <f t="shared" si="2"/>
        <v>0.223</v>
      </c>
    </row>
    <row r="44" spans="2:20" x14ac:dyDescent="0.25">
      <c r="B44" s="1">
        <v>41</v>
      </c>
      <c r="C44" s="9" t="s">
        <v>35</v>
      </c>
      <c r="D44" t="s">
        <v>33</v>
      </c>
      <c r="E44" t="s">
        <v>8</v>
      </c>
      <c r="F44">
        <v>128</v>
      </c>
      <c r="G44">
        <v>200</v>
      </c>
      <c r="H44" t="s">
        <v>13</v>
      </c>
      <c r="I44" s="9">
        <v>0.34399999999999997</v>
      </c>
      <c r="J44" s="2">
        <v>0.33600000000000002</v>
      </c>
      <c r="K44" s="2">
        <v>0.29099999999999998</v>
      </c>
      <c r="L44" s="3">
        <f t="shared" si="0"/>
        <v>0.34399999999999997</v>
      </c>
      <c r="M44" s="9">
        <v>0.26300000000000001</v>
      </c>
      <c r="N44" s="2">
        <v>0.36399999999999999</v>
      </c>
      <c r="O44" s="2">
        <v>0.34699999999999998</v>
      </c>
      <c r="P44" s="3">
        <f t="shared" si="1"/>
        <v>0.36399999999999999</v>
      </c>
      <c r="Q44" s="9">
        <v>0.13900000000000001</v>
      </c>
      <c r="R44" s="2">
        <v>0.19800000000000001</v>
      </c>
      <c r="S44" s="2">
        <v>0.20699999999999999</v>
      </c>
      <c r="T44" s="3">
        <f t="shared" si="2"/>
        <v>0.20699999999999999</v>
      </c>
    </row>
    <row r="45" spans="2:20" x14ac:dyDescent="0.25">
      <c r="B45" s="1">
        <v>42</v>
      </c>
      <c r="C45" s="9" t="s">
        <v>35</v>
      </c>
      <c r="D45" t="s">
        <v>33</v>
      </c>
      <c r="E45" t="s">
        <v>11</v>
      </c>
      <c r="F45">
        <v>256</v>
      </c>
      <c r="G45">
        <v>200</v>
      </c>
      <c r="H45" t="s">
        <v>13</v>
      </c>
      <c r="I45" s="9">
        <v>0.376</v>
      </c>
      <c r="J45" s="2">
        <v>0.372</v>
      </c>
      <c r="K45" s="2">
        <v>0.32800000000000001</v>
      </c>
      <c r="L45" s="3">
        <f t="shared" si="0"/>
        <v>0.376</v>
      </c>
      <c r="M45" s="9">
        <v>0.33900000000000002</v>
      </c>
      <c r="N45" s="2">
        <v>0.39400000000000002</v>
      </c>
      <c r="O45" s="2">
        <v>0.36099999999999999</v>
      </c>
      <c r="P45" s="3">
        <f t="shared" si="1"/>
        <v>0.39400000000000002</v>
      </c>
      <c r="Q45" s="9">
        <v>0.192</v>
      </c>
      <c r="R45" s="2">
        <v>0.22500000000000001</v>
      </c>
      <c r="S45" s="2">
        <v>0.221</v>
      </c>
      <c r="T45" s="3">
        <f t="shared" si="2"/>
        <v>0.22500000000000001</v>
      </c>
    </row>
    <row r="46" spans="2:20" x14ac:dyDescent="0.25">
      <c r="B46" s="1">
        <v>43</v>
      </c>
      <c r="C46" s="9" t="s">
        <v>35</v>
      </c>
      <c r="D46" t="s">
        <v>33</v>
      </c>
      <c r="E46" t="s">
        <v>12</v>
      </c>
      <c r="F46">
        <v>512</v>
      </c>
      <c r="G46">
        <v>200</v>
      </c>
      <c r="H46" t="s">
        <v>13</v>
      </c>
      <c r="I46" s="9">
        <v>0.35799999999999998</v>
      </c>
      <c r="J46" s="2">
        <v>0.34100000000000003</v>
      </c>
      <c r="K46" s="2">
        <v>0.29699999999999999</v>
      </c>
      <c r="L46" s="3">
        <f t="shared" si="0"/>
        <v>0.35799999999999998</v>
      </c>
      <c r="M46" s="9">
        <v>0.3</v>
      </c>
      <c r="N46" s="2">
        <v>0.38900000000000001</v>
      </c>
      <c r="O46" s="2">
        <v>0.34200000000000003</v>
      </c>
      <c r="P46" s="3">
        <f t="shared" si="1"/>
        <v>0.38900000000000001</v>
      </c>
      <c r="Q46" s="9">
        <v>0.16200000000000001</v>
      </c>
      <c r="R46" s="2">
        <v>0.223</v>
      </c>
      <c r="S46" s="2">
        <v>0.216</v>
      </c>
      <c r="T46" s="3">
        <f t="shared" si="2"/>
        <v>0.223</v>
      </c>
    </row>
  </sheetData>
  <autoFilter ref="B3:T3" xr:uid="{A847D131-318D-4B5F-8441-AA6E1D149AFA}">
    <sortState xmlns:xlrd2="http://schemas.microsoft.com/office/spreadsheetml/2017/richdata2" ref="B4:T40">
      <sortCondition ref="B3"/>
    </sortState>
  </autoFilter>
  <mergeCells count="3">
    <mergeCell ref="I2:L2"/>
    <mergeCell ref="M2:P2"/>
    <mergeCell ref="Q2:T2"/>
  </mergeCells>
  <conditionalFormatting sqref="J41:L46 I4:P40 N41:P46">
    <cfRule type="colorScale" priority="24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41:T46 Q4:T40">
    <cfRule type="colorScale" priority="25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4:L46">
    <cfRule type="colorScale" priority="3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4:P46">
    <cfRule type="colorScale" priority="3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4:T46">
    <cfRule type="colorScale" priority="3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2F34-0037-479F-8AE0-BBD704632229}">
  <dimension ref="B2:T46"/>
  <sheetViews>
    <sheetView tabSelected="1" workbookViewId="0"/>
  </sheetViews>
  <sheetFormatPr defaultRowHeight="15" x14ac:dyDescent="0.25"/>
  <cols>
    <col min="2" max="2" width="4.28515625" customWidth="1"/>
    <col min="3" max="4" width="12.85546875" customWidth="1"/>
    <col min="5" max="5" width="27.140625" customWidth="1"/>
    <col min="6" max="8" width="12.85546875" customWidth="1"/>
    <col min="9" max="20" width="10.7109375" customWidth="1"/>
  </cols>
  <sheetData>
    <row r="2" spans="2:20" x14ac:dyDescent="0.25">
      <c r="I2" s="26" t="s">
        <v>14</v>
      </c>
      <c r="J2" s="26"/>
      <c r="K2" s="26"/>
      <c r="L2" s="26"/>
      <c r="M2" s="26" t="s">
        <v>4</v>
      </c>
      <c r="N2" s="26"/>
      <c r="O2" s="26"/>
      <c r="P2" s="26"/>
      <c r="Q2" s="26" t="s">
        <v>5</v>
      </c>
      <c r="R2" s="26"/>
      <c r="S2" s="26"/>
      <c r="T2" s="26"/>
    </row>
    <row r="3" spans="2:20" ht="15.75" thickBot="1" x14ac:dyDescent="0.3">
      <c r="B3" s="14"/>
      <c r="C3" s="13" t="s">
        <v>3</v>
      </c>
      <c r="D3" s="14" t="s">
        <v>9</v>
      </c>
      <c r="E3" s="14" t="s">
        <v>1</v>
      </c>
      <c r="F3" s="14" t="s">
        <v>7</v>
      </c>
      <c r="G3" s="14" t="s">
        <v>2</v>
      </c>
      <c r="H3" s="14" t="s">
        <v>0</v>
      </c>
      <c r="I3" s="21" t="s">
        <v>36</v>
      </c>
      <c r="J3" s="15" t="s">
        <v>37</v>
      </c>
      <c r="K3" s="15" t="s">
        <v>38</v>
      </c>
      <c r="L3" s="15" t="s">
        <v>39</v>
      </c>
      <c r="M3" s="21" t="s">
        <v>36</v>
      </c>
      <c r="N3" s="15" t="s">
        <v>37</v>
      </c>
      <c r="O3" s="15" t="s">
        <v>38</v>
      </c>
      <c r="P3" s="15" t="s">
        <v>39</v>
      </c>
      <c r="Q3" s="21" t="s">
        <v>36</v>
      </c>
      <c r="R3" s="15" t="s">
        <v>37</v>
      </c>
      <c r="S3" s="15" t="s">
        <v>38</v>
      </c>
      <c r="T3" s="15" t="s">
        <v>39</v>
      </c>
    </row>
    <row r="4" spans="2:20" x14ac:dyDescent="0.25">
      <c r="B4" s="1">
        <v>1</v>
      </c>
      <c r="C4" s="9" t="s">
        <v>6</v>
      </c>
      <c r="D4" t="s">
        <v>10</v>
      </c>
      <c r="E4" t="s">
        <v>8</v>
      </c>
      <c r="F4">
        <v>128</v>
      </c>
      <c r="G4">
        <v>200</v>
      </c>
      <c r="H4" t="s">
        <v>13</v>
      </c>
      <c r="I4" s="20">
        <v>0.59199999999999997</v>
      </c>
      <c r="J4" s="2">
        <v>0.54100000000000004</v>
      </c>
      <c r="K4" s="2">
        <v>0.45300000000000001</v>
      </c>
      <c r="L4" s="3">
        <f t="shared" ref="L4:L46" si="0">MAX(I4:K4)</f>
        <v>0.59199999999999997</v>
      </c>
      <c r="M4" s="20">
        <v>0.51</v>
      </c>
      <c r="N4" s="2">
        <v>0.53700000000000003</v>
      </c>
      <c r="O4" s="2">
        <v>0.45</v>
      </c>
      <c r="P4" s="3">
        <f t="shared" ref="P4:P46" si="1">MAX(M4:O4)</f>
        <v>0.53700000000000003</v>
      </c>
      <c r="Q4" s="20">
        <v>0.246</v>
      </c>
      <c r="R4" s="2">
        <v>0.30199999999999999</v>
      </c>
      <c r="S4" s="2">
        <v>0.27500000000000002</v>
      </c>
      <c r="T4" s="3">
        <f t="shared" ref="T4:T46" si="2">MAX(Q4:S4)</f>
        <v>0.30199999999999999</v>
      </c>
    </row>
    <row r="5" spans="2:20" x14ac:dyDescent="0.25">
      <c r="B5" s="1">
        <v>2</v>
      </c>
      <c r="C5" s="9" t="s">
        <v>6</v>
      </c>
      <c r="D5" t="s">
        <v>10</v>
      </c>
      <c r="E5" t="s">
        <v>11</v>
      </c>
      <c r="F5">
        <v>256</v>
      </c>
      <c r="G5">
        <v>200</v>
      </c>
      <c r="H5" t="s">
        <v>13</v>
      </c>
      <c r="I5" s="20">
        <v>0.629</v>
      </c>
      <c r="J5" s="2">
        <v>0.57399999999999995</v>
      </c>
      <c r="K5" s="2">
        <v>0.47899999999999998</v>
      </c>
      <c r="L5" s="3">
        <f t="shared" si="0"/>
        <v>0.629</v>
      </c>
      <c r="M5" s="20">
        <v>0.50600000000000001</v>
      </c>
      <c r="N5" s="2">
        <v>0.55500000000000005</v>
      </c>
      <c r="O5" s="2">
        <v>0.46800000000000003</v>
      </c>
      <c r="P5" s="3">
        <f t="shared" si="1"/>
        <v>0.55500000000000005</v>
      </c>
      <c r="Q5" s="20">
        <v>0.26</v>
      </c>
      <c r="R5" s="2">
        <v>0.32600000000000001</v>
      </c>
      <c r="S5" s="2">
        <v>0.3</v>
      </c>
      <c r="T5" s="3">
        <f t="shared" si="2"/>
        <v>0.32600000000000001</v>
      </c>
    </row>
    <row r="6" spans="2:20" x14ac:dyDescent="0.25">
      <c r="B6" s="1">
        <v>3</v>
      </c>
      <c r="C6" s="9" t="s">
        <v>6</v>
      </c>
      <c r="D6" t="s">
        <v>10</v>
      </c>
      <c r="E6" t="s">
        <v>12</v>
      </c>
      <c r="F6">
        <v>512</v>
      </c>
      <c r="G6">
        <v>200</v>
      </c>
      <c r="H6" t="s">
        <v>13</v>
      </c>
      <c r="I6" s="20">
        <v>0.61299999999999999</v>
      </c>
      <c r="J6" s="2">
        <v>0.55500000000000005</v>
      </c>
      <c r="K6" s="2">
        <v>0.44500000000000001</v>
      </c>
      <c r="L6" s="3">
        <f t="shared" si="0"/>
        <v>0.61299999999999999</v>
      </c>
      <c r="M6" s="20">
        <v>0.51800000000000002</v>
      </c>
      <c r="N6" s="2">
        <v>0.56200000000000006</v>
      </c>
      <c r="O6" s="2">
        <v>0.46200000000000002</v>
      </c>
      <c r="P6" s="3">
        <f t="shared" si="1"/>
        <v>0.56200000000000006</v>
      </c>
      <c r="Q6" s="20">
        <v>0.26300000000000001</v>
      </c>
      <c r="R6" s="2">
        <v>0.32800000000000001</v>
      </c>
      <c r="S6" s="2">
        <v>0.29199999999999998</v>
      </c>
      <c r="T6" s="3">
        <f t="shared" si="2"/>
        <v>0.32800000000000001</v>
      </c>
    </row>
    <row r="7" spans="2:20" x14ac:dyDescent="0.25">
      <c r="B7" s="1">
        <v>4</v>
      </c>
      <c r="C7" s="9" t="s">
        <v>6</v>
      </c>
      <c r="E7" t="s">
        <v>15</v>
      </c>
      <c r="F7">
        <v>128</v>
      </c>
      <c r="G7">
        <v>100</v>
      </c>
      <c r="H7" t="s">
        <v>13</v>
      </c>
      <c r="I7" s="20">
        <v>0.61</v>
      </c>
      <c r="J7" s="2">
        <v>0.53</v>
      </c>
      <c r="K7" s="2">
        <v>0.435</v>
      </c>
      <c r="L7" s="3">
        <f t="shared" si="0"/>
        <v>0.61</v>
      </c>
      <c r="M7" s="20">
        <v>0.51300000000000001</v>
      </c>
      <c r="N7" s="2">
        <v>0.53200000000000003</v>
      </c>
      <c r="O7" s="2">
        <v>0.44400000000000001</v>
      </c>
      <c r="P7" s="3">
        <f t="shared" si="1"/>
        <v>0.53200000000000003</v>
      </c>
      <c r="Q7" s="20">
        <v>0.253</v>
      </c>
      <c r="R7" s="2">
        <v>0.30299999999999999</v>
      </c>
      <c r="S7" s="2">
        <v>0.27300000000000002</v>
      </c>
      <c r="T7" s="3">
        <f t="shared" si="2"/>
        <v>0.30299999999999999</v>
      </c>
    </row>
    <row r="8" spans="2:20" x14ac:dyDescent="0.25">
      <c r="B8" s="1">
        <v>5</v>
      </c>
      <c r="C8" s="9" t="s">
        <v>6</v>
      </c>
      <c r="E8" t="s">
        <v>8</v>
      </c>
      <c r="F8">
        <v>128</v>
      </c>
      <c r="G8">
        <v>200</v>
      </c>
      <c r="H8" t="s">
        <v>13</v>
      </c>
      <c r="I8" s="20">
        <v>0.62</v>
      </c>
      <c r="J8" s="2">
        <v>0.55000000000000004</v>
      </c>
      <c r="K8" s="2">
        <v>0.45400000000000001</v>
      </c>
      <c r="L8" s="3">
        <f t="shared" si="0"/>
        <v>0.62</v>
      </c>
      <c r="M8" s="20">
        <v>0.51500000000000001</v>
      </c>
      <c r="N8" s="2">
        <v>0.54900000000000004</v>
      </c>
      <c r="O8" s="2">
        <v>0.45700000000000002</v>
      </c>
      <c r="P8" s="3">
        <f t="shared" si="1"/>
        <v>0.54900000000000004</v>
      </c>
      <c r="Q8" s="20">
        <v>0.251</v>
      </c>
      <c r="R8" s="2">
        <v>0.316</v>
      </c>
      <c r="S8" s="2">
        <v>0.28399999999999997</v>
      </c>
      <c r="T8" s="3">
        <f t="shared" si="2"/>
        <v>0.316</v>
      </c>
    </row>
    <row r="9" spans="2:20" x14ac:dyDescent="0.25">
      <c r="B9" s="1">
        <v>6</v>
      </c>
      <c r="C9" s="9" t="s">
        <v>6</v>
      </c>
      <c r="E9" t="s">
        <v>16</v>
      </c>
      <c r="F9">
        <v>128</v>
      </c>
      <c r="G9">
        <v>300</v>
      </c>
      <c r="H9" t="s">
        <v>13</v>
      </c>
      <c r="I9" s="20">
        <v>0.59899999999999998</v>
      </c>
      <c r="J9" s="2">
        <v>0.53</v>
      </c>
      <c r="K9" s="2">
        <v>0.438</v>
      </c>
      <c r="L9" s="3">
        <f t="shared" si="0"/>
        <v>0.59899999999999998</v>
      </c>
      <c r="M9" s="20">
        <v>0.498</v>
      </c>
      <c r="N9" s="2">
        <v>0.53600000000000003</v>
      </c>
      <c r="O9" s="2">
        <v>0.44600000000000001</v>
      </c>
      <c r="P9" s="3">
        <f t="shared" si="1"/>
        <v>0.53600000000000003</v>
      </c>
      <c r="Q9" s="20">
        <v>0.23799999999999999</v>
      </c>
      <c r="R9" s="2">
        <v>0.30399999999999999</v>
      </c>
      <c r="S9" s="2">
        <v>0.27400000000000002</v>
      </c>
      <c r="T9" s="3">
        <f t="shared" si="2"/>
        <v>0.30399999999999999</v>
      </c>
    </row>
    <row r="10" spans="2:20" x14ac:dyDescent="0.25">
      <c r="B10" s="1">
        <v>7</v>
      </c>
      <c r="C10" s="9" t="s">
        <v>6</v>
      </c>
      <c r="E10" t="s">
        <v>17</v>
      </c>
      <c r="F10">
        <v>256</v>
      </c>
      <c r="G10">
        <v>100</v>
      </c>
      <c r="H10" t="s">
        <v>13</v>
      </c>
      <c r="I10" s="20">
        <v>0.629</v>
      </c>
      <c r="J10" s="2">
        <v>0.56599999999999995</v>
      </c>
      <c r="K10" s="2">
        <v>0.45700000000000002</v>
      </c>
      <c r="L10" s="3">
        <f t="shared" si="0"/>
        <v>0.629</v>
      </c>
      <c r="M10" s="20">
        <v>0.51100000000000001</v>
      </c>
      <c r="N10" s="2">
        <v>0.56200000000000006</v>
      </c>
      <c r="O10" s="2">
        <v>0.46</v>
      </c>
      <c r="P10" s="3">
        <f t="shared" si="1"/>
        <v>0.56200000000000006</v>
      </c>
      <c r="Q10" s="20">
        <v>0.26</v>
      </c>
      <c r="R10" s="2">
        <v>0.33100000000000002</v>
      </c>
      <c r="S10" s="2">
        <v>0.29499999999999998</v>
      </c>
      <c r="T10" s="3">
        <f t="shared" si="2"/>
        <v>0.33100000000000002</v>
      </c>
    </row>
    <row r="11" spans="2:20" x14ac:dyDescent="0.25">
      <c r="B11" s="1">
        <v>8</v>
      </c>
      <c r="C11" s="9" t="s">
        <v>6</v>
      </c>
      <c r="E11" t="s">
        <v>11</v>
      </c>
      <c r="F11">
        <v>256</v>
      </c>
      <c r="G11">
        <v>200</v>
      </c>
      <c r="H11" t="s">
        <v>13</v>
      </c>
      <c r="I11" s="20">
        <v>0.626</v>
      </c>
      <c r="J11" s="2">
        <v>0.56699999999999995</v>
      </c>
      <c r="K11" s="2">
        <v>0.46200000000000002</v>
      </c>
      <c r="L11" s="3">
        <f t="shared" si="0"/>
        <v>0.626</v>
      </c>
      <c r="M11" s="20">
        <v>0.51100000000000001</v>
      </c>
      <c r="N11" s="2">
        <v>0.55300000000000005</v>
      </c>
      <c r="O11" s="2">
        <v>0.45400000000000001</v>
      </c>
      <c r="P11" s="3">
        <f t="shared" si="1"/>
        <v>0.55300000000000005</v>
      </c>
      <c r="Q11" s="20">
        <v>0.26</v>
      </c>
      <c r="R11" s="2">
        <v>0.32300000000000001</v>
      </c>
      <c r="S11" s="2">
        <v>0.28499999999999998</v>
      </c>
      <c r="T11" s="3">
        <f t="shared" si="2"/>
        <v>0.32300000000000001</v>
      </c>
    </row>
    <row r="12" spans="2:20" x14ac:dyDescent="0.25">
      <c r="B12" s="1">
        <v>9</v>
      </c>
      <c r="C12" s="9" t="s">
        <v>6</v>
      </c>
      <c r="E12" t="s">
        <v>18</v>
      </c>
      <c r="F12">
        <v>256</v>
      </c>
      <c r="G12">
        <v>300</v>
      </c>
      <c r="H12" t="s">
        <v>13</v>
      </c>
      <c r="I12" s="20">
        <v>0.60499999999999998</v>
      </c>
      <c r="J12" s="2">
        <v>0.55700000000000005</v>
      </c>
      <c r="K12" s="2">
        <v>0.46500000000000002</v>
      </c>
      <c r="L12" s="3">
        <f t="shared" si="0"/>
        <v>0.60499999999999998</v>
      </c>
      <c r="M12" s="20">
        <v>0.504</v>
      </c>
      <c r="N12" s="2">
        <v>0.53400000000000003</v>
      </c>
      <c r="O12" s="2">
        <v>0.44500000000000001</v>
      </c>
      <c r="P12" s="3">
        <f t="shared" si="1"/>
        <v>0.53400000000000003</v>
      </c>
      <c r="Q12" s="20">
        <v>0.26100000000000001</v>
      </c>
      <c r="R12" s="2">
        <v>0.30599999999999999</v>
      </c>
      <c r="S12" s="2">
        <v>0.27</v>
      </c>
      <c r="T12" s="3">
        <f t="shared" si="2"/>
        <v>0.30599999999999999</v>
      </c>
    </row>
    <row r="13" spans="2:20" x14ac:dyDescent="0.25">
      <c r="B13" s="1">
        <v>10</v>
      </c>
      <c r="C13" s="9" t="s">
        <v>6</v>
      </c>
      <c r="E13" t="s">
        <v>19</v>
      </c>
      <c r="F13">
        <v>512</v>
      </c>
      <c r="G13">
        <v>100</v>
      </c>
      <c r="H13" t="s">
        <v>13</v>
      </c>
      <c r="I13" s="20">
        <v>0.65500000000000003</v>
      </c>
      <c r="J13" s="2">
        <v>0.59299999999999997</v>
      </c>
      <c r="K13" s="2">
        <v>0.47299999999999998</v>
      </c>
      <c r="L13" s="3">
        <f t="shared" si="0"/>
        <v>0.65500000000000003</v>
      </c>
      <c r="M13" s="20">
        <v>0.56200000000000006</v>
      </c>
      <c r="N13" s="2">
        <v>0.58899999999999997</v>
      </c>
      <c r="O13" s="2">
        <v>0.47499999999999998</v>
      </c>
      <c r="P13" s="3">
        <f t="shared" si="1"/>
        <v>0.58899999999999997</v>
      </c>
      <c r="Q13" s="20">
        <v>0.29799999999999999</v>
      </c>
      <c r="R13" s="2">
        <v>0.35499999999999998</v>
      </c>
      <c r="S13" s="2">
        <v>0.308</v>
      </c>
      <c r="T13" s="3">
        <f t="shared" si="2"/>
        <v>0.35499999999999998</v>
      </c>
    </row>
    <row r="14" spans="2:20" x14ac:dyDescent="0.25">
      <c r="B14" s="1">
        <v>11</v>
      </c>
      <c r="C14" s="9" t="s">
        <v>6</v>
      </c>
      <c r="E14" t="s">
        <v>20</v>
      </c>
      <c r="F14">
        <v>512</v>
      </c>
      <c r="G14">
        <v>200</v>
      </c>
      <c r="H14" t="s">
        <v>25</v>
      </c>
      <c r="I14" s="20">
        <v>0.624</v>
      </c>
      <c r="J14" s="2">
        <v>0.56699999999999995</v>
      </c>
      <c r="K14" s="2">
        <v>0.46100000000000002</v>
      </c>
      <c r="L14" s="3">
        <f t="shared" si="0"/>
        <v>0.624</v>
      </c>
      <c r="M14" s="20">
        <v>0.53200000000000003</v>
      </c>
      <c r="N14" s="2">
        <v>0.55800000000000005</v>
      </c>
      <c r="O14" s="2">
        <v>0.45400000000000001</v>
      </c>
      <c r="P14" s="3">
        <f t="shared" si="1"/>
        <v>0.55800000000000005</v>
      </c>
      <c r="Q14" s="20">
        <v>0.27200000000000002</v>
      </c>
      <c r="R14" s="2">
        <v>0.32700000000000001</v>
      </c>
      <c r="S14" s="2">
        <v>0.28599999999999998</v>
      </c>
      <c r="T14" s="3">
        <f t="shared" si="2"/>
        <v>0.32700000000000001</v>
      </c>
    </row>
    <row r="15" spans="2:20" x14ac:dyDescent="0.25">
      <c r="B15" s="1">
        <v>12</v>
      </c>
      <c r="C15" s="9" t="s">
        <v>6</v>
      </c>
      <c r="E15" t="s">
        <v>12</v>
      </c>
      <c r="F15">
        <v>512</v>
      </c>
      <c r="G15">
        <v>200</v>
      </c>
      <c r="H15" t="s">
        <v>13</v>
      </c>
      <c r="I15" s="20">
        <v>0.60699999999999998</v>
      </c>
      <c r="J15" s="2">
        <v>0.55500000000000005</v>
      </c>
      <c r="K15" s="2">
        <v>0.44600000000000001</v>
      </c>
      <c r="L15" s="3">
        <f t="shared" si="0"/>
        <v>0.60699999999999998</v>
      </c>
      <c r="M15" s="20">
        <v>0.52</v>
      </c>
      <c r="N15" s="2">
        <v>0.54500000000000004</v>
      </c>
      <c r="O15" s="2">
        <v>0.441</v>
      </c>
      <c r="P15" s="3">
        <f t="shared" si="1"/>
        <v>0.54500000000000004</v>
      </c>
      <c r="Q15" s="20">
        <v>0.26400000000000001</v>
      </c>
      <c r="R15" s="2">
        <v>0.315</v>
      </c>
      <c r="S15" s="2">
        <v>0.27300000000000002</v>
      </c>
      <c r="T15" s="3">
        <f t="shared" si="2"/>
        <v>0.315</v>
      </c>
    </row>
    <row r="16" spans="2:20" x14ac:dyDescent="0.25">
      <c r="B16" s="1">
        <v>13</v>
      </c>
      <c r="C16" s="9" t="s">
        <v>6</v>
      </c>
      <c r="E16" t="s">
        <v>21</v>
      </c>
      <c r="F16">
        <v>512</v>
      </c>
      <c r="G16">
        <v>200</v>
      </c>
      <c r="H16" t="s">
        <v>26</v>
      </c>
      <c r="I16" s="20">
        <v>0.60499999999999998</v>
      </c>
      <c r="J16" s="2">
        <v>0.55400000000000005</v>
      </c>
      <c r="K16" s="2">
        <v>0.44900000000000001</v>
      </c>
      <c r="L16" s="3">
        <f t="shared" si="0"/>
        <v>0.60499999999999998</v>
      </c>
      <c r="M16" s="20">
        <v>0.51900000000000002</v>
      </c>
      <c r="N16" s="2">
        <v>0.54400000000000004</v>
      </c>
      <c r="O16" s="2">
        <v>0.44400000000000001</v>
      </c>
      <c r="P16" s="3">
        <f t="shared" si="1"/>
        <v>0.54400000000000004</v>
      </c>
      <c r="Q16" s="20">
        <v>0.26700000000000002</v>
      </c>
      <c r="R16" s="2">
        <v>0.314</v>
      </c>
      <c r="S16" s="2">
        <v>0.27300000000000002</v>
      </c>
      <c r="T16" s="3">
        <f t="shared" si="2"/>
        <v>0.314</v>
      </c>
    </row>
    <row r="17" spans="2:20" x14ac:dyDescent="0.25">
      <c r="B17" s="1">
        <v>14</v>
      </c>
      <c r="C17" s="9" t="s">
        <v>6</v>
      </c>
      <c r="E17" t="s">
        <v>22</v>
      </c>
      <c r="F17">
        <v>512</v>
      </c>
      <c r="G17">
        <v>200</v>
      </c>
      <c r="H17" t="s">
        <v>27</v>
      </c>
      <c r="I17" s="20">
        <v>0.63</v>
      </c>
      <c r="J17" s="2">
        <v>0.57099999999999995</v>
      </c>
      <c r="K17" s="2">
        <v>0.495</v>
      </c>
      <c r="L17" s="3">
        <f t="shared" si="0"/>
        <v>0.63</v>
      </c>
      <c r="M17" s="20">
        <v>0.55300000000000005</v>
      </c>
      <c r="N17" s="2">
        <v>0.54800000000000004</v>
      </c>
      <c r="O17" s="2">
        <v>0.43099999999999999</v>
      </c>
      <c r="P17" s="3">
        <f t="shared" si="1"/>
        <v>0.55300000000000005</v>
      </c>
      <c r="Q17" s="20">
        <v>0.29199999999999998</v>
      </c>
      <c r="R17" s="2">
        <v>0.33</v>
      </c>
      <c r="S17" s="2">
        <v>0.28100000000000003</v>
      </c>
      <c r="T17" s="3">
        <f t="shared" si="2"/>
        <v>0.33</v>
      </c>
    </row>
    <row r="18" spans="2:20" x14ac:dyDescent="0.25">
      <c r="B18" s="1">
        <v>15</v>
      </c>
      <c r="C18" s="9" t="s">
        <v>6</v>
      </c>
      <c r="E18" t="s">
        <v>23</v>
      </c>
      <c r="F18">
        <v>512</v>
      </c>
      <c r="G18">
        <v>300</v>
      </c>
      <c r="H18" t="s">
        <v>13</v>
      </c>
      <c r="I18" s="20">
        <v>0.56100000000000005</v>
      </c>
      <c r="J18" s="2">
        <v>0.52300000000000002</v>
      </c>
      <c r="K18" s="2">
        <v>0.42599999999999999</v>
      </c>
      <c r="L18" s="3">
        <f t="shared" si="0"/>
        <v>0.56100000000000005</v>
      </c>
      <c r="M18" s="20">
        <v>0.47099999999999997</v>
      </c>
      <c r="N18" s="2">
        <v>0.502</v>
      </c>
      <c r="O18" s="2">
        <v>0.41</v>
      </c>
      <c r="P18" s="3">
        <f t="shared" si="1"/>
        <v>0.502</v>
      </c>
      <c r="Q18" s="20">
        <v>0.23699999999999999</v>
      </c>
      <c r="R18" s="2">
        <v>0.27400000000000002</v>
      </c>
      <c r="S18" s="2">
        <v>0.24099999999999999</v>
      </c>
      <c r="T18" s="3">
        <f t="shared" si="2"/>
        <v>0.27400000000000002</v>
      </c>
    </row>
    <row r="19" spans="2:20" x14ac:dyDescent="0.25">
      <c r="B19" s="1">
        <v>16</v>
      </c>
      <c r="C19" s="9" t="s">
        <v>6</v>
      </c>
      <c r="D19" t="s">
        <v>24</v>
      </c>
      <c r="E19" t="s">
        <v>8</v>
      </c>
      <c r="F19">
        <v>128</v>
      </c>
      <c r="G19">
        <v>200</v>
      </c>
      <c r="H19" t="s">
        <v>13</v>
      </c>
      <c r="I19" s="20">
        <v>0.75700000000000001</v>
      </c>
      <c r="J19" s="2">
        <v>0.73499999999999999</v>
      </c>
      <c r="K19" s="2">
        <v>0.61399999999999999</v>
      </c>
      <c r="L19" s="3">
        <f t="shared" si="0"/>
        <v>0.75700000000000001</v>
      </c>
      <c r="M19" s="20">
        <v>0.432</v>
      </c>
      <c r="N19" s="2">
        <v>0.74</v>
      </c>
      <c r="O19" s="2">
        <v>0.64900000000000002</v>
      </c>
      <c r="P19" s="3">
        <f t="shared" si="1"/>
        <v>0.74</v>
      </c>
      <c r="Q19" s="20">
        <v>0.23100000000000001</v>
      </c>
      <c r="R19" s="2">
        <v>0.46</v>
      </c>
      <c r="S19" s="2">
        <v>0.42799999999999999</v>
      </c>
      <c r="T19" s="3">
        <f t="shared" si="2"/>
        <v>0.46</v>
      </c>
    </row>
    <row r="20" spans="2:20" x14ac:dyDescent="0.25">
      <c r="B20" s="1">
        <v>17</v>
      </c>
      <c r="C20" s="9" t="s">
        <v>6</v>
      </c>
      <c r="D20" t="s">
        <v>24</v>
      </c>
      <c r="E20" t="s">
        <v>11</v>
      </c>
      <c r="F20">
        <v>256</v>
      </c>
      <c r="G20">
        <v>200</v>
      </c>
      <c r="H20" t="s">
        <v>13</v>
      </c>
      <c r="I20" s="20">
        <v>0.75900000000000001</v>
      </c>
      <c r="J20" s="2">
        <v>0.748</v>
      </c>
      <c r="K20" s="2">
        <v>0.63</v>
      </c>
      <c r="L20" s="3">
        <f t="shared" si="0"/>
        <v>0.75900000000000001</v>
      </c>
      <c r="M20" s="20">
        <v>0.438</v>
      </c>
      <c r="N20" s="2">
        <v>0.755</v>
      </c>
      <c r="O20" s="2">
        <v>0.66400000000000003</v>
      </c>
      <c r="P20" s="3">
        <f t="shared" si="1"/>
        <v>0.755</v>
      </c>
      <c r="Q20" s="20">
        <v>0.24299999999999999</v>
      </c>
      <c r="R20" s="2">
        <v>0.47899999999999998</v>
      </c>
      <c r="S20" s="2">
        <v>0.45500000000000002</v>
      </c>
      <c r="T20" s="3">
        <f t="shared" si="2"/>
        <v>0.47899999999999998</v>
      </c>
    </row>
    <row r="21" spans="2:20" x14ac:dyDescent="0.25">
      <c r="B21" s="1">
        <v>18</v>
      </c>
      <c r="C21" s="9" t="s">
        <v>6</v>
      </c>
      <c r="D21" t="s">
        <v>24</v>
      </c>
      <c r="E21" t="s">
        <v>12</v>
      </c>
      <c r="F21">
        <v>512</v>
      </c>
      <c r="G21">
        <v>200</v>
      </c>
      <c r="H21" t="s">
        <v>13</v>
      </c>
      <c r="I21" s="20">
        <v>0.76900000000000002</v>
      </c>
      <c r="J21" s="2">
        <v>0.755</v>
      </c>
      <c r="K21" s="2">
        <v>0.63</v>
      </c>
      <c r="L21" s="3">
        <f t="shared" si="0"/>
        <v>0.76900000000000002</v>
      </c>
      <c r="M21" s="20">
        <v>0.47</v>
      </c>
      <c r="N21" s="2">
        <v>0.77700000000000002</v>
      </c>
      <c r="O21" s="2">
        <v>0.67</v>
      </c>
      <c r="P21" s="3">
        <f t="shared" si="1"/>
        <v>0.77700000000000002</v>
      </c>
      <c r="Q21" s="20">
        <v>0.27900000000000003</v>
      </c>
      <c r="R21" s="2">
        <v>0.52300000000000002</v>
      </c>
      <c r="S21" s="2">
        <v>0.48299999999999998</v>
      </c>
      <c r="T21" s="3">
        <f t="shared" si="2"/>
        <v>0.52300000000000002</v>
      </c>
    </row>
    <row r="22" spans="2:20" x14ac:dyDescent="0.25">
      <c r="B22" s="1">
        <v>19</v>
      </c>
      <c r="C22" s="9" t="s">
        <v>28</v>
      </c>
      <c r="E22" t="s">
        <v>8</v>
      </c>
      <c r="F22">
        <v>128</v>
      </c>
      <c r="G22">
        <v>200</v>
      </c>
      <c r="H22" t="s">
        <v>13</v>
      </c>
      <c r="I22" s="20">
        <v>0.40600000000000003</v>
      </c>
      <c r="J22" s="2">
        <v>0.41099999999999998</v>
      </c>
      <c r="K22" s="2">
        <v>0.41199999999999998</v>
      </c>
      <c r="L22" s="3">
        <f t="shared" si="0"/>
        <v>0.41199999999999998</v>
      </c>
      <c r="M22" s="20">
        <v>0.44500000000000001</v>
      </c>
      <c r="N22" s="2">
        <v>0.52</v>
      </c>
      <c r="O22" s="2">
        <v>0.53200000000000003</v>
      </c>
      <c r="P22" s="3">
        <f t="shared" si="1"/>
        <v>0.53200000000000003</v>
      </c>
      <c r="Q22" s="20">
        <v>0.22500000000000001</v>
      </c>
      <c r="R22" s="2">
        <v>0.26500000000000001</v>
      </c>
      <c r="S22" s="2">
        <v>0.27100000000000002</v>
      </c>
      <c r="T22" s="3">
        <f t="shared" si="2"/>
        <v>0.27100000000000002</v>
      </c>
    </row>
    <row r="23" spans="2:20" x14ac:dyDescent="0.25">
      <c r="B23" s="1">
        <v>20</v>
      </c>
      <c r="C23" s="9" t="s">
        <v>28</v>
      </c>
      <c r="E23" t="s">
        <v>17</v>
      </c>
      <c r="F23">
        <v>256</v>
      </c>
      <c r="G23">
        <v>100</v>
      </c>
      <c r="H23" t="s">
        <v>13</v>
      </c>
      <c r="I23" s="20">
        <v>0.48299999999999998</v>
      </c>
      <c r="J23" s="2">
        <v>0.48599999999999999</v>
      </c>
      <c r="K23" s="2">
        <v>0.48599999999999999</v>
      </c>
      <c r="L23" s="3">
        <f t="shared" si="0"/>
        <v>0.48599999999999999</v>
      </c>
      <c r="M23" s="20">
        <v>0.48199999999999998</v>
      </c>
      <c r="N23" s="2">
        <v>0.55700000000000005</v>
      </c>
      <c r="O23" s="2">
        <v>0.56599999999999995</v>
      </c>
      <c r="P23" s="3">
        <f t="shared" si="1"/>
        <v>0.56599999999999995</v>
      </c>
      <c r="Q23" s="20">
        <v>0.25</v>
      </c>
      <c r="R23" s="2">
        <v>0.29599999999999999</v>
      </c>
      <c r="S23" s="2">
        <v>0.30399999999999999</v>
      </c>
      <c r="T23" s="3">
        <f t="shared" si="2"/>
        <v>0.30399999999999999</v>
      </c>
    </row>
    <row r="24" spans="2:20" x14ac:dyDescent="0.25">
      <c r="B24" s="1">
        <v>21</v>
      </c>
      <c r="C24" s="9" t="s">
        <v>28</v>
      </c>
      <c r="E24" t="s">
        <v>11</v>
      </c>
      <c r="F24">
        <v>256</v>
      </c>
      <c r="G24">
        <v>200</v>
      </c>
      <c r="H24" t="s">
        <v>13</v>
      </c>
      <c r="I24" s="20">
        <v>0.48399999999999999</v>
      </c>
      <c r="J24" s="2">
        <v>0.48799999999999999</v>
      </c>
      <c r="K24" s="2">
        <v>0.48799999999999999</v>
      </c>
      <c r="L24" s="3">
        <f t="shared" si="0"/>
        <v>0.48799999999999999</v>
      </c>
      <c r="M24" s="20">
        <v>0.497</v>
      </c>
      <c r="N24" s="2">
        <v>0.55900000000000005</v>
      </c>
      <c r="O24" s="2">
        <v>0.56399999999999995</v>
      </c>
      <c r="P24" s="3">
        <f t="shared" si="1"/>
        <v>0.56399999999999995</v>
      </c>
      <c r="Q24" s="20">
        <v>0.25900000000000001</v>
      </c>
      <c r="R24" s="2">
        <v>0.29899999999999999</v>
      </c>
      <c r="S24" s="2">
        <v>0.30399999999999999</v>
      </c>
      <c r="T24" s="3">
        <f t="shared" si="2"/>
        <v>0.30399999999999999</v>
      </c>
    </row>
    <row r="25" spans="2:20" x14ac:dyDescent="0.25">
      <c r="B25" s="1">
        <v>22</v>
      </c>
      <c r="C25" s="9" t="s">
        <v>28</v>
      </c>
      <c r="E25" t="s">
        <v>19</v>
      </c>
      <c r="F25">
        <v>512</v>
      </c>
      <c r="G25">
        <v>100</v>
      </c>
      <c r="H25" t="s">
        <v>13</v>
      </c>
      <c r="I25" s="20">
        <v>0.42699999999999999</v>
      </c>
      <c r="J25" s="2">
        <v>0.435</v>
      </c>
      <c r="K25" s="2">
        <v>0.435</v>
      </c>
      <c r="L25" s="3">
        <f t="shared" si="0"/>
        <v>0.435</v>
      </c>
      <c r="M25" s="20">
        <v>0.46500000000000002</v>
      </c>
      <c r="N25" s="2">
        <v>0.54100000000000004</v>
      </c>
      <c r="O25" s="2">
        <v>0.54900000000000004</v>
      </c>
      <c r="P25" s="3">
        <f t="shared" si="1"/>
        <v>0.54900000000000004</v>
      </c>
      <c r="Q25" s="20">
        <v>0.248</v>
      </c>
      <c r="R25" s="2">
        <v>0.29299999999999998</v>
      </c>
      <c r="S25" s="2">
        <v>0.30099999999999999</v>
      </c>
      <c r="T25" s="3">
        <f t="shared" si="2"/>
        <v>0.30099999999999999</v>
      </c>
    </row>
    <row r="26" spans="2:20" x14ac:dyDescent="0.25">
      <c r="B26" s="1">
        <v>23</v>
      </c>
      <c r="C26" s="9" t="s">
        <v>28</v>
      </c>
      <c r="E26" t="s">
        <v>12</v>
      </c>
      <c r="F26">
        <v>512</v>
      </c>
      <c r="G26">
        <v>200</v>
      </c>
      <c r="H26" t="s">
        <v>13</v>
      </c>
      <c r="I26" s="20">
        <v>0.4</v>
      </c>
      <c r="J26" s="2">
        <v>0.41199999999999998</v>
      </c>
      <c r="K26" s="2">
        <v>0.41499999999999998</v>
      </c>
      <c r="L26" s="3">
        <f t="shared" si="0"/>
        <v>0.41499999999999998</v>
      </c>
      <c r="M26" s="20">
        <v>0.44500000000000001</v>
      </c>
      <c r="N26" s="2">
        <v>0.51</v>
      </c>
      <c r="O26" s="2">
        <v>0.51500000000000001</v>
      </c>
      <c r="P26" s="3">
        <f t="shared" si="1"/>
        <v>0.51500000000000001</v>
      </c>
      <c r="Q26" s="20">
        <v>0.23599999999999999</v>
      </c>
      <c r="R26" s="2">
        <v>0.27300000000000002</v>
      </c>
      <c r="S26" s="2">
        <v>0.27800000000000002</v>
      </c>
      <c r="T26" s="3">
        <f t="shared" si="2"/>
        <v>0.27800000000000002</v>
      </c>
    </row>
    <row r="27" spans="2:20" x14ac:dyDescent="0.25">
      <c r="B27" s="1">
        <v>24</v>
      </c>
      <c r="C27" s="9" t="s">
        <v>28</v>
      </c>
      <c r="D27" t="s">
        <v>32</v>
      </c>
      <c r="E27" t="s">
        <v>8</v>
      </c>
      <c r="F27">
        <v>128</v>
      </c>
      <c r="G27">
        <v>200</v>
      </c>
      <c r="H27" t="s">
        <v>13</v>
      </c>
      <c r="I27" s="20">
        <v>0.48699999999999999</v>
      </c>
      <c r="J27" s="2">
        <v>0.48899999999999999</v>
      </c>
      <c r="K27" s="2">
        <v>0.46200000000000002</v>
      </c>
      <c r="L27" s="3">
        <f t="shared" si="0"/>
        <v>0.48899999999999999</v>
      </c>
      <c r="M27" s="20">
        <v>0.41899999999999998</v>
      </c>
      <c r="N27" s="2">
        <v>0.52600000000000002</v>
      </c>
      <c r="O27" s="2">
        <v>0.51900000000000002</v>
      </c>
      <c r="P27" s="3">
        <f t="shared" si="1"/>
        <v>0.52600000000000002</v>
      </c>
      <c r="Q27" s="20">
        <v>0.20100000000000001</v>
      </c>
      <c r="R27" s="2">
        <v>0.27400000000000002</v>
      </c>
      <c r="S27" s="2">
        <v>0.27800000000000002</v>
      </c>
      <c r="T27" s="3">
        <f t="shared" si="2"/>
        <v>0.27800000000000002</v>
      </c>
    </row>
    <row r="28" spans="2:20" x14ac:dyDescent="0.25">
      <c r="B28" s="1">
        <v>25</v>
      </c>
      <c r="C28" s="9" t="s">
        <v>28</v>
      </c>
      <c r="D28" t="s">
        <v>32</v>
      </c>
      <c r="E28" t="s">
        <v>11</v>
      </c>
      <c r="F28">
        <v>256</v>
      </c>
      <c r="G28">
        <v>200</v>
      </c>
      <c r="H28" t="s">
        <v>13</v>
      </c>
      <c r="I28" s="20">
        <v>0.50800000000000001</v>
      </c>
      <c r="J28" s="2">
        <v>0.51</v>
      </c>
      <c r="K28" s="2">
        <v>0.49099999999999999</v>
      </c>
      <c r="L28" s="3">
        <f t="shared" si="0"/>
        <v>0.51</v>
      </c>
      <c r="M28" s="20">
        <v>0.49299999999999999</v>
      </c>
      <c r="N28" s="2">
        <v>0.54</v>
      </c>
      <c r="O28" s="2">
        <v>0.52400000000000002</v>
      </c>
      <c r="P28" s="3">
        <f t="shared" si="1"/>
        <v>0.54</v>
      </c>
      <c r="Q28" s="20">
        <v>0.25900000000000001</v>
      </c>
      <c r="R28" s="2">
        <v>0.28799999999999998</v>
      </c>
      <c r="S28" s="2">
        <v>0.28799999999999998</v>
      </c>
      <c r="T28" s="3">
        <f t="shared" si="2"/>
        <v>0.28799999999999998</v>
      </c>
    </row>
    <row r="29" spans="2:20" x14ac:dyDescent="0.25">
      <c r="B29" s="1">
        <v>26</v>
      </c>
      <c r="C29" s="9" t="s">
        <v>28</v>
      </c>
      <c r="D29" t="s">
        <v>32</v>
      </c>
      <c r="E29" t="s">
        <v>12</v>
      </c>
      <c r="F29">
        <v>512</v>
      </c>
      <c r="G29">
        <v>200</v>
      </c>
      <c r="H29" t="s">
        <v>13</v>
      </c>
      <c r="I29" s="20">
        <v>0.44900000000000001</v>
      </c>
      <c r="J29" s="2">
        <v>0.45500000000000002</v>
      </c>
      <c r="K29" s="2">
        <v>0.44400000000000001</v>
      </c>
      <c r="L29" s="3">
        <f t="shared" si="0"/>
        <v>0.45500000000000002</v>
      </c>
      <c r="M29" s="20">
        <v>0.45900000000000002</v>
      </c>
      <c r="N29" s="2">
        <v>0.504</v>
      </c>
      <c r="O29" s="2">
        <v>0.49199999999999999</v>
      </c>
      <c r="P29" s="3">
        <f t="shared" si="1"/>
        <v>0.504</v>
      </c>
      <c r="Q29" s="20">
        <v>0.24399999999999999</v>
      </c>
      <c r="R29" s="2">
        <v>0.27400000000000002</v>
      </c>
      <c r="S29" s="2">
        <v>0.27300000000000002</v>
      </c>
      <c r="T29" s="3">
        <f t="shared" si="2"/>
        <v>0.27400000000000002</v>
      </c>
    </row>
    <row r="30" spans="2:20" x14ac:dyDescent="0.25">
      <c r="B30" s="1">
        <v>27</v>
      </c>
      <c r="C30" s="9" t="s">
        <v>28</v>
      </c>
      <c r="D30" t="s">
        <v>33</v>
      </c>
      <c r="E30" t="s">
        <v>8</v>
      </c>
      <c r="F30">
        <v>128</v>
      </c>
      <c r="G30">
        <v>200</v>
      </c>
      <c r="H30" t="s">
        <v>13</v>
      </c>
      <c r="I30" s="20">
        <v>0.51700000000000002</v>
      </c>
      <c r="J30" s="2">
        <v>0.50600000000000001</v>
      </c>
      <c r="K30" s="2">
        <v>0.435</v>
      </c>
      <c r="L30" s="3">
        <f t="shared" si="0"/>
        <v>0.51700000000000002</v>
      </c>
      <c r="M30" s="20">
        <v>0.41</v>
      </c>
      <c r="N30" s="2">
        <v>0.51100000000000001</v>
      </c>
      <c r="O30" s="2">
        <v>0.46100000000000002</v>
      </c>
      <c r="P30" s="3">
        <f t="shared" si="1"/>
        <v>0.51100000000000001</v>
      </c>
      <c r="Q30" s="20">
        <v>0.193</v>
      </c>
      <c r="R30" s="2">
        <v>0.27</v>
      </c>
      <c r="S30" s="2">
        <v>0.26600000000000001</v>
      </c>
      <c r="T30" s="3">
        <f t="shared" si="2"/>
        <v>0.27</v>
      </c>
    </row>
    <row r="31" spans="2:20" x14ac:dyDescent="0.25">
      <c r="B31" s="1">
        <v>28</v>
      </c>
      <c r="C31" s="9" t="s">
        <v>28</v>
      </c>
      <c r="D31" t="s">
        <v>33</v>
      </c>
      <c r="E31" t="s">
        <v>11</v>
      </c>
      <c r="F31">
        <v>256</v>
      </c>
      <c r="G31">
        <v>200</v>
      </c>
      <c r="H31" t="s">
        <v>13</v>
      </c>
      <c r="I31" s="20">
        <v>0.53300000000000003</v>
      </c>
      <c r="J31" s="2">
        <v>0.52900000000000003</v>
      </c>
      <c r="K31" s="2">
        <v>0.46600000000000003</v>
      </c>
      <c r="L31" s="3">
        <f t="shared" si="0"/>
        <v>0.53300000000000003</v>
      </c>
      <c r="M31" s="20">
        <v>0.48499999999999999</v>
      </c>
      <c r="N31" s="2">
        <v>0.52400000000000002</v>
      </c>
      <c r="O31" s="2">
        <v>0.46400000000000002</v>
      </c>
      <c r="P31" s="3">
        <f t="shared" si="1"/>
        <v>0.52400000000000002</v>
      </c>
      <c r="Q31" s="20">
        <v>0.26200000000000001</v>
      </c>
      <c r="R31" s="2">
        <v>0.29099999999999998</v>
      </c>
      <c r="S31" s="2">
        <v>0.27600000000000002</v>
      </c>
      <c r="T31" s="3">
        <f t="shared" si="2"/>
        <v>0.29099999999999998</v>
      </c>
    </row>
    <row r="32" spans="2:20" x14ac:dyDescent="0.25">
      <c r="B32" s="1">
        <v>29</v>
      </c>
      <c r="C32" s="9" t="s">
        <v>28</v>
      </c>
      <c r="D32" t="s">
        <v>33</v>
      </c>
      <c r="E32" t="s">
        <v>12</v>
      </c>
      <c r="F32">
        <v>512</v>
      </c>
      <c r="G32">
        <v>200</v>
      </c>
      <c r="H32" t="s">
        <v>13</v>
      </c>
      <c r="I32" s="20">
        <v>0.48699999999999999</v>
      </c>
      <c r="J32" s="2">
        <v>0.48499999999999999</v>
      </c>
      <c r="K32" s="2">
        <v>0.432</v>
      </c>
      <c r="L32" s="3">
        <f t="shared" si="0"/>
        <v>0.48699999999999999</v>
      </c>
      <c r="M32" s="20">
        <v>0.45200000000000001</v>
      </c>
      <c r="N32" s="2">
        <v>0.49199999999999999</v>
      </c>
      <c r="O32" s="2">
        <v>0.433</v>
      </c>
      <c r="P32" s="3">
        <f t="shared" si="1"/>
        <v>0.49199999999999999</v>
      </c>
      <c r="Q32" s="20">
        <v>0.248</v>
      </c>
      <c r="R32" s="2">
        <v>0.27600000000000002</v>
      </c>
      <c r="S32" s="2">
        <v>0.25900000000000001</v>
      </c>
      <c r="T32" s="3">
        <f t="shared" si="2"/>
        <v>0.27600000000000002</v>
      </c>
    </row>
    <row r="33" spans="2:20" x14ac:dyDescent="0.25">
      <c r="B33" s="1">
        <v>30</v>
      </c>
      <c r="C33" s="9" t="s">
        <v>28</v>
      </c>
      <c r="D33" t="s">
        <v>34</v>
      </c>
      <c r="E33" t="s">
        <v>29</v>
      </c>
      <c r="F33">
        <v>128</v>
      </c>
      <c r="G33">
        <v>200</v>
      </c>
      <c r="H33" t="s">
        <v>13</v>
      </c>
      <c r="I33" s="20">
        <v>0.34</v>
      </c>
      <c r="J33" s="2">
        <v>0.35799999999999998</v>
      </c>
      <c r="K33" s="2">
        <v>0.36099999999999999</v>
      </c>
      <c r="L33" s="3">
        <f t="shared" si="0"/>
        <v>0.36099999999999999</v>
      </c>
      <c r="M33" s="20">
        <v>0.34399999999999997</v>
      </c>
      <c r="N33" s="2">
        <v>0.41199999999999998</v>
      </c>
      <c r="O33" s="2">
        <v>0.42799999999999999</v>
      </c>
      <c r="P33" s="3">
        <f t="shared" si="1"/>
        <v>0.42799999999999999</v>
      </c>
      <c r="Q33" s="20">
        <v>0.182</v>
      </c>
      <c r="R33" s="2">
        <v>0.19900000000000001</v>
      </c>
      <c r="S33" s="2">
        <v>0.20599999999999999</v>
      </c>
      <c r="T33" s="3">
        <f t="shared" si="2"/>
        <v>0.20599999999999999</v>
      </c>
    </row>
    <row r="34" spans="2:20" x14ac:dyDescent="0.25">
      <c r="B34" s="1">
        <v>31</v>
      </c>
      <c r="C34" s="9" t="s">
        <v>28</v>
      </c>
      <c r="D34" t="s">
        <v>34</v>
      </c>
      <c r="E34" t="s">
        <v>31</v>
      </c>
      <c r="F34">
        <v>256</v>
      </c>
      <c r="G34">
        <v>200</v>
      </c>
      <c r="H34" t="s">
        <v>13</v>
      </c>
      <c r="I34" s="20">
        <v>0.44900000000000001</v>
      </c>
      <c r="J34" s="2">
        <v>0.45900000000000002</v>
      </c>
      <c r="K34" s="2">
        <v>0.46</v>
      </c>
      <c r="L34" s="3">
        <f t="shared" si="0"/>
        <v>0.46</v>
      </c>
      <c r="M34" s="20">
        <v>0.44400000000000001</v>
      </c>
      <c r="N34" s="2">
        <v>0.502</v>
      </c>
      <c r="O34" s="2">
        <v>0.51100000000000001</v>
      </c>
      <c r="P34" s="3">
        <f t="shared" si="1"/>
        <v>0.51100000000000001</v>
      </c>
      <c r="Q34" s="20">
        <v>0.23899999999999999</v>
      </c>
      <c r="R34" s="2">
        <v>0.26300000000000001</v>
      </c>
      <c r="S34" s="2">
        <v>0.27</v>
      </c>
      <c r="T34" s="3">
        <f t="shared" si="2"/>
        <v>0.27</v>
      </c>
    </row>
    <row r="35" spans="2:20" x14ac:dyDescent="0.25">
      <c r="B35" s="1">
        <v>32</v>
      </c>
      <c r="C35" s="9" t="s">
        <v>28</v>
      </c>
      <c r="D35" t="s">
        <v>34</v>
      </c>
      <c r="E35" t="s">
        <v>30</v>
      </c>
      <c r="F35">
        <v>512</v>
      </c>
      <c r="G35">
        <v>200</v>
      </c>
      <c r="H35" t="s">
        <v>13</v>
      </c>
      <c r="I35" s="20">
        <v>0.39700000000000002</v>
      </c>
      <c r="J35" s="2">
        <v>0.41</v>
      </c>
      <c r="K35" s="2">
        <v>0.41299999999999998</v>
      </c>
      <c r="L35" s="3">
        <f t="shared" si="0"/>
        <v>0.41299999999999998</v>
      </c>
      <c r="M35" s="20">
        <v>0.42099999999999999</v>
      </c>
      <c r="N35" s="2">
        <v>0.504</v>
      </c>
      <c r="O35" s="2">
        <v>0.51</v>
      </c>
      <c r="P35" s="3">
        <f t="shared" si="1"/>
        <v>0.51</v>
      </c>
      <c r="Q35" s="20">
        <v>0.216</v>
      </c>
      <c r="R35" s="2">
        <v>0.26600000000000001</v>
      </c>
      <c r="S35" s="2">
        <v>0.27300000000000002</v>
      </c>
      <c r="T35" s="3">
        <f t="shared" si="2"/>
        <v>0.27300000000000002</v>
      </c>
    </row>
    <row r="36" spans="2:20" x14ac:dyDescent="0.25">
      <c r="B36" s="1">
        <v>33</v>
      </c>
      <c r="C36" s="9" t="s">
        <v>35</v>
      </c>
      <c r="E36" t="s">
        <v>8</v>
      </c>
      <c r="F36">
        <v>128</v>
      </c>
      <c r="G36">
        <v>200</v>
      </c>
      <c r="H36" t="s">
        <v>13</v>
      </c>
      <c r="I36" s="20">
        <v>0.42299999999999999</v>
      </c>
      <c r="J36" s="2">
        <v>0.43</v>
      </c>
      <c r="K36" s="2">
        <v>0.42799999999999999</v>
      </c>
      <c r="L36" s="3">
        <f t="shared" si="0"/>
        <v>0.43</v>
      </c>
      <c r="M36" s="20">
        <v>0.373</v>
      </c>
      <c r="N36" s="2">
        <v>0.47599999999999998</v>
      </c>
      <c r="O36" s="2">
        <v>0.51300000000000001</v>
      </c>
      <c r="P36" s="3">
        <f t="shared" si="1"/>
        <v>0.51300000000000001</v>
      </c>
      <c r="Q36" s="20">
        <v>0.182</v>
      </c>
      <c r="R36" s="2">
        <v>0.23400000000000001</v>
      </c>
      <c r="S36" s="2">
        <v>0.25900000000000001</v>
      </c>
      <c r="T36" s="3">
        <f t="shared" si="2"/>
        <v>0.25900000000000001</v>
      </c>
    </row>
    <row r="37" spans="2:20" x14ac:dyDescent="0.25">
      <c r="B37" s="1">
        <v>34</v>
      </c>
      <c r="C37" s="9" t="s">
        <v>35</v>
      </c>
      <c r="E37" t="s">
        <v>17</v>
      </c>
      <c r="F37">
        <v>256</v>
      </c>
      <c r="G37">
        <v>100</v>
      </c>
      <c r="H37" t="s">
        <v>13</v>
      </c>
      <c r="I37" s="20">
        <v>0.49399999999999999</v>
      </c>
      <c r="J37" s="2">
        <v>0.496</v>
      </c>
      <c r="K37" s="2">
        <v>0.48899999999999999</v>
      </c>
      <c r="L37" s="3">
        <f t="shared" si="0"/>
        <v>0.496</v>
      </c>
      <c r="M37" s="20">
        <v>0.39200000000000002</v>
      </c>
      <c r="N37" s="2">
        <v>0.51</v>
      </c>
      <c r="O37" s="2">
        <v>0.55200000000000005</v>
      </c>
      <c r="P37" s="3">
        <f t="shared" si="1"/>
        <v>0.55200000000000005</v>
      </c>
      <c r="Q37" s="20">
        <v>0.19500000000000001</v>
      </c>
      <c r="R37" s="2">
        <v>0.26200000000000001</v>
      </c>
      <c r="S37" s="2">
        <v>0.29799999999999999</v>
      </c>
      <c r="T37" s="3">
        <f t="shared" si="2"/>
        <v>0.29799999999999999</v>
      </c>
    </row>
    <row r="38" spans="2:20" x14ac:dyDescent="0.25">
      <c r="B38" s="1">
        <v>35</v>
      </c>
      <c r="C38" s="9" t="s">
        <v>35</v>
      </c>
      <c r="E38" t="s">
        <v>11</v>
      </c>
      <c r="F38">
        <v>256</v>
      </c>
      <c r="G38">
        <v>200</v>
      </c>
      <c r="H38" t="s">
        <v>13</v>
      </c>
      <c r="I38" s="20">
        <v>0.49199999999999999</v>
      </c>
      <c r="J38" s="2">
        <v>0.49399999999999999</v>
      </c>
      <c r="K38" s="2">
        <v>0.48899999999999999</v>
      </c>
      <c r="L38" s="3">
        <f t="shared" si="0"/>
        <v>0.49399999999999999</v>
      </c>
      <c r="M38" s="20">
        <v>0.439</v>
      </c>
      <c r="N38" s="2">
        <v>0.53200000000000003</v>
      </c>
      <c r="O38" s="2">
        <v>0.55300000000000005</v>
      </c>
      <c r="P38" s="3">
        <f t="shared" si="1"/>
        <v>0.55300000000000005</v>
      </c>
      <c r="Q38" s="20">
        <v>0.22600000000000001</v>
      </c>
      <c r="R38" s="2">
        <v>0.27800000000000002</v>
      </c>
      <c r="S38" s="2">
        <v>0.29899999999999999</v>
      </c>
      <c r="T38" s="3">
        <f t="shared" si="2"/>
        <v>0.29899999999999999</v>
      </c>
    </row>
    <row r="39" spans="2:20" x14ac:dyDescent="0.25">
      <c r="B39" s="1">
        <v>36</v>
      </c>
      <c r="C39" s="9" t="s">
        <v>35</v>
      </c>
      <c r="E39" t="s">
        <v>19</v>
      </c>
      <c r="F39">
        <v>512</v>
      </c>
      <c r="G39">
        <v>100</v>
      </c>
      <c r="H39" t="s">
        <v>13</v>
      </c>
      <c r="I39" s="20">
        <v>0.502</v>
      </c>
      <c r="J39" s="2">
        <v>0.49399999999999999</v>
      </c>
      <c r="K39" s="2">
        <v>0.46800000000000003</v>
      </c>
      <c r="L39" s="3">
        <f t="shared" si="0"/>
        <v>0.502</v>
      </c>
      <c r="M39" s="20">
        <v>0.34699999999999998</v>
      </c>
      <c r="N39" s="2">
        <v>0.46200000000000002</v>
      </c>
      <c r="O39" s="2">
        <v>0.54100000000000004</v>
      </c>
      <c r="P39" s="3">
        <f t="shared" si="1"/>
        <v>0.54100000000000004</v>
      </c>
      <c r="Q39" s="20">
        <v>0.158</v>
      </c>
      <c r="R39" s="2">
        <v>0.222</v>
      </c>
      <c r="S39" s="2">
        <v>0.30099999999999999</v>
      </c>
      <c r="T39" s="3">
        <f t="shared" si="2"/>
        <v>0.30099999999999999</v>
      </c>
    </row>
    <row r="40" spans="2:20" x14ac:dyDescent="0.25">
      <c r="B40" s="1">
        <v>37</v>
      </c>
      <c r="C40" s="9" t="s">
        <v>35</v>
      </c>
      <c r="E40" t="s">
        <v>12</v>
      </c>
      <c r="F40">
        <v>512</v>
      </c>
      <c r="G40">
        <v>200</v>
      </c>
      <c r="H40" t="s">
        <v>13</v>
      </c>
      <c r="I40" s="20">
        <v>0.45700000000000002</v>
      </c>
      <c r="J40" s="2">
        <v>0.45300000000000001</v>
      </c>
      <c r="K40" s="2">
        <v>0.43099999999999999</v>
      </c>
      <c r="L40" s="3">
        <f t="shared" si="0"/>
        <v>0.45700000000000002</v>
      </c>
      <c r="M40" s="20">
        <v>0.35499999999999998</v>
      </c>
      <c r="N40" s="2">
        <v>0.46</v>
      </c>
      <c r="O40" s="2">
        <v>0.495</v>
      </c>
      <c r="P40" s="3">
        <f t="shared" si="1"/>
        <v>0.495</v>
      </c>
      <c r="Q40" s="20">
        <v>0.16500000000000001</v>
      </c>
      <c r="R40" s="2">
        <v>0.22900000000000001</v>
      </c>
      <c r="S40" s="2">
        <v>0.26900000000000002</v>
      </c>
      <c r="T40" s="3">
        <f t="shared" si="2"/>
        <v>0.26900000000000002</v>
      </c>
    </row>
    <row r="41" spans="2:20" x14ac:dyDescent="0.25">
      <c r="B41" s="1">
        <v>38</v>
      </c>
      <c r="C41" s="9" t="s">
        <v>35</v>
      </c>
      <c r="D41" t="s">
        <v>32</v>
      </c>
      <c r="E41" t="s">
        <v>8</v>
      </c>
      <c r="F41">
        <v>128</v>
      </c>
      <c r="G41">
        <v>200</v>
      </c>
      <c r="H41" t="s">
        <v>13</v>
      </c>
      <c r="I41" s="9">
        <v>0.49399999999999999</v>
      </c>
      <c r="J41" s="2">
        <v>0.496</v>
      </c>
      <c r="K41" s="2">
        <v>0.46899999999999997</v>
      </c>
      <c r="L41" s="3">
        <f t="shared" si="0"/>
        <v>0.496</v>
      </c>
      <c r="M41" s="9">
        <v>0.39400000000000002</v>
      </c>
      <c r="N41" s="2">
        <v>0.51100000000000001</v>
      </c>
      <c r="O41" s="2">
        <v>0.52200000000000002</v>
      </c>
      <c r="P41" s="3">
        <f t="shared" si="1"/>
        <v>0.52200000000000002</v>
      </c>
      <c r="Q41" s="9">
        <v>0.19</v>
      </c>
      <c r="R41" s="2">
        <v>0.26600000000000001</v>
      </c>
      <c r="S41" s="2">
        <v>0.28100000000000003</v>
      </c>
      <c r="T41" s="3">
        <f t="shared" si="2"/>
        <v>0.28100000000000003</v>
      </c>
    </row>
    <row r="42" spans="2:20" x14ac:dyDescent="0.25">
      <c r="B42" s="1">
        <v>39</v>
      </c>
      <c r="C42" s="9" t="s">
        <v>35</v>
      </c>
      <c r="D42" t="s">
        <v>32</v>
      </c>
      <c r="E42" t="s">
        <v>11</v>
      </c>
      <c r="F42">
        <v>256</v>
      </c>
      <c r="G42">
        <v>200</v>
      </c>
      <c r="H42" t="s">
        <v>13</v>
      </c>
      <c r="I42" s="9">
        <v>0.52100000000000002</v>
      </c>
      <c r="J42" s="2">
        <v>0.52300000000000002</v>
      </c>
      <c r="K42" s="2">
        <v>0.499</v>
      </c>
      <c r="L42" s="3">
        <f t="shared" si="0"/>
        <v>0.52300000000000002</v>
      </c>
      <c r="M42" s="9">
        <v>0.47099999999999997</v>
      </c>
      <c r="N42" s="2">
        <v>0.54500000000000004</v>
      </c>
      <c r="O42" s="2">
        <v>0.53200000000000003</v>
      </c>
      <c r="P42" s="3">
        <f t="shared" si="1"/>
        <v>0.54500000000000004</v>
      </c>
      <c r="Q42" s="9">
        <v>0.248</v>
      </c>
      <c r="R42" s="2">
        <v>0.29399999999999998</v>
      </c>
      <c r="S42" s="2">
        <v>0.29899999999999999</v>
      </c>
      <c r="T42" s="3">
        <f t="shared" si="2"/>
        <v>0.29899999999999999</v>
      </c>
    </row>
    <row r="43" spans="2:20" x14ac:dyDescent="0.25">
      <c r="B43" s="1">
        <v>40</v>
      </c>
      <c r="C43" s="9" t="s">
        <v>35</v>
      </c>
      <c r="D43" t="s">
        <v>32</v>
      </c>
      <c r="E43" t="s">
        <v>12</v>
      </c>
      <c r="F43">
        <v>512</v>
      </c>
      <c r="G43">
        <v>200</v>
      </c>
      <c r="H43" t="s">
        <v>13</v>
      </c>
      <c r="I43" s="9">
        <v>0.496</v>
      </c>
      <c r="J43" s="2">
        <v>0.48599999999999999</v>
      </c>
      <c r="K43" s="2">
        <v>0.45100000000000001</v>
      </c>
      <c r="L43" s="3">
        <f t="shared" si="0"/>
        <v>0.496</v>
      </c>
      <c r="M43" s="9">
        <v>0.434</v>
      </c>
      <c r="N43" s="2">
        <v>0.52</v>
      </c>
      <c r="O43" s="2">
        <v>0.504</v>
      </c>
      <c r="P43" s="3">
        <f t="shared" si="1"/>
        <v>0.52</v>
      </c>
      <c r="Q43" s="9">
        <v>0.22</v>
      </c>
      <c r="R43" s="2">
        <v>0.28299999999999997</v>
      </c>
      <c r="S43" s="2">
        <v>0.29299999999999998</v>
      </c>
      <c r="T43" s="3">
        <f t="shared" si="2"/>
        <v>0.29299999999999998</v>
      </c>
    </row>
    <row r="44" spans="2:20" x14ac:dyDescent="0.25">
      <c r="B44" s="1">
        <v>41</v>
      </c>
      <c r="C44" s="9" t="s">
        <v>35</v>
      </c>
      <c r="D44" t="s">
        <v>33</v>
      </c>
      <c r="E44" t="s">
        <v>8</v>
      </c>
      <c r="F44">
        <v>128</v>
      </c>
      <c r="G44">
        <v>200</v>
      </c>
      <c r="H44" t="s">
        <v>13</v>
      </c>
      <c r="I44" s="9">
        <v>0.52200000000000002</v>
      </c>
      <c r="J44" s="2">
        <v>0.50800000000000001</v>
      </c>
      <c r="K44" s="2">
        <v>0.434</v>
      </c>
      <c r="L44" s="3">
        <f t="shared" si="0"/>
        <v>0.52200000000000002</v>
      </c>
      <c r="M44" s="9">
        <v>0.45</v>
      </c>
      <c r="N44" s="2">
        <v>0.51700000000000002</v>
      </c>
      <c r="O44" s="2">
        <v>0.46700000000000003</v>
      </c>
      <c r="P44" s="3">
        <f t="shared" si="1"/>
        <v>0.51700000000000002</v>
      </c>
      <c r="Q44" s="9">
        <v>0.22800000000000001</v>
      </c>
      <c r="R44" s="2">
        <v>0.27800000000000002</v>
      </c>
      <c r="S44" s="2">
        <v>0.27100000000000002</v>
      </c>
      <c r="T44" s="3">
        <f t="shared" si="2"/>
        <v>0.27800000000000002</v>
      </c>
    </row>
    <row r="45" spans="2:20" x14ac:dyDescent="0.25">
      <c r="B45" s="1">
        <v>42</v>
      </c>
      <c r="C45" s="9" t="s">
        <v>35</v>
      </c>
      <c r="D45" t="s">
        <v>33</v>
      </c>
      <c r="E45" t="s">
        <v>11</v>
      </c>
      <c r="F45">
        <v>256</v>
      </c>
      <c r="G45">
        <v>200</v>
      </c>
      <c r="H45" t="s">
        <v>13</v>
      </c>
      <c r="I45" s="9">
        <v>0.54200000000000004</v>
      </c>
      <c r="J45" s="2">
        <v>0.53300000000000003</v>
      </c>
      <c r="K45" s="2">
        <v>0.46100000000000002</v>
      </c>
      <c r="L45" s="3">
        <f t="shared" si="0"/>
        <v>0.54200000000000004</v>
      </c>
      <c r="M45" s="9">
        <v>0.49299999999999999</v>
      </c>
      <c r="N45" s="2">
        <v>0.53100000000000003</v>
      </c>
      <c r="O45" s="2">
        <v>0.46400000000000002</v>
      </c>
      <c r="P45" s="3">
        <f t="shared" si="1"/>
        <v>0.53100000000000003</v>
      </c>
      <c r="Q45" s="9">
        <v>0.26600000000000001</v>
      </c>
      <c r="R45" s="2">
        <v>0.29499999999999998</v>
      </c>
      <c r="S45" s="2">
        <v>0.27800000000000002</v>
      </c>
      <c r="T45" s="3">
        <f t="shared" si="2"/>
        <v>0.29499999999999998</v>
      </c>
    </row>
    <row r="46" spans="2:20" x14ac:dyDescent="0.25">
      <c r="B46" s="1">
        <v>43</v>
      </c>
      <c r="C46" s="9" t="s">
        <v>35</v>
      </c>
      <c r="D46" t="s">
        <v>33</v>
      </c>
      <c r="E46" t="s">
        <v>12</v>
      </c>
      <c r="F46">
        <v>512</v>
      </c>
      <c r="G46">
        <v>200</v>
      </c>
      <c r="H46" t="s">
        <v>13</v>
      </c>
      <c r="I46" s="9">
        <v>0.53500000000000003</v>
      </c>
      <c r="J46" s="2">
        <v>0.51600000000000001</v>
      </c>
      <c r="K46" s="2">
        <v>0.439</v>
      </c>
      <c r="L46" s="3">
        <f t="shared" si="0"/>
        <v>0.53500000000000003</v>
      </c>
      <c r="M46" s="9">
        <v>0.48099999999999998</v>
      </c>
      <c r="N46" s="2">
        <v>0.53800000000000003</v>
      </c>
      <c r="O46" s="2">
        <v>0.45600000000000002</v>
      </c>
      <c r="P46" s="3">
        <f t="shared" si="1"/>
        <v>0.53800000000000003</v>
      </c>
      <c r="Q46" s="9">
        <v>0.25700000000000001</v>
      </c>
      <c r="R46" s="2">
        <v>0.30599999999999999</v>
      </c>
      <c r="S46" s="2">
        <v>0.28100000000000003</v>
      </c>
      <c r="T46" s="3">
        <f t="shared" si="2"/>
        <v>0.30599999999999999</v>
      </c>
    </row>
  </sheetData>
  <autoFilter ref="B3:T40" xr:uid="{2ECD2F34-0037-479F-8AE0-BBD704632229}">
    <sortState xmlns:xlrd2="http://schemas.microsoft.com/office/spreadsheetml/2017/richdata2" ref="B4:T40">
      <sortCondition ref="B3:B40"/>
    </sortState>
  </autoFilter>
  <mergeCells count="3">
    <mergeCell ref="I2:L2"/>
    <mergeCell ref="M2:P2"/>
    <mergeCell ref="Q2:T2"/>
  </mergeCells>
  <conditionalFormatting sqref="J41:L46 I4:P40 N41:P46">
    <cfRule type="colorScale" priority="10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41:T46 Q4:T40">
    <cfRule type="colorScale" priority="1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4:L46">
    <cfRule type="colorScale" priority="1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4:P46">
    <cfRule type="colorScale" priority="1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4:T46">
    <cfRule type="colorScale" priority="1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605DF-CC1B-4120-B106-3EBE857924BB}">
  <dimension ref="B2:T46"/>
  <sheetViews>
    <sheetView workbookViewId="0"/>
  </sheetViews>
  <sheetFormatPr defaultRowHeight="15" x14ac:dyDescent="0.25"/>
  <cols>
    <col min="2" max="2" width="4.28515625" customWidth="1"/>
    <col min="3" max="4" width="12.85546875" customWidth="1"/>
    <col min="5" max="5" width="27.140625" customWidth="1"/>
    <col min="6" max="8" width="12.85546875" customWidth="1"/>
    <col min="9" max="16" width="10.7109375" customWidth="1"/>
  </cols>
  <sheetData>
    <row r="2" spans="2:16" x14ac:dyDescent="0.25">
      <c r="I2" s="26" t="s">
        <v>4</v>
      </c>
      <c r="J2" s="26"/>
      <c r="K2" s="26"/>
      <c r="L2" s="26"/>
      <c r="M2" s="26" t="s">
        <v>5</v>
      </c>
      <c r="N2" s="26"/>
      <c r="O2" s="26"/>
      <c r="P2" s="26"/>
    </row>
    <row r="3" spans="2:16" ht="15.75" thickBot="1" x14ac:dyDescent="0.3">
      <c r="B3" s="14"/>
      <c r="C3" s="13" t="s">
        <v>3</v>
      </c>
      <c r="D3" s="14" t="s">
        <v>9</v>
      </c>
      <c r="E3" s="14" t="s">
        <v>1</v>
      </c>
      <c r="F3" s="14" t="s">
        <v>7</v>
      </c>
      <c r="G3" s="14" t="s">
        <v>2</v>
      </c>
      <c r="H3" s="14" t="s">
        <v>0</v>
      </c>
      <c r="I3" s="23" t="s">
        <v>36</v>
      </c>
      <c r="J3" s="17" t="s">
        <v>37</v>
      </c>
      <c r="K3" s="17" t="s">
        <v>38</v>
      </c>
      <c r="L3" s="17" t="s">
        <v>39</v>
      </c>
      <c r="M3" s="23" t="s">
        <v>36</v>
      </c>
      <c r="N3" s="17" t="s">
        <v>37</v>
      </c>
      <c r="O3" s="17" t="s">
        <v>38</v>
      </c>
      <c r="P3" s="15" t="s">
        <v>39</v>
      </c>
    </row>
    <row r="4" spans="2:16" x14ac:dyDescent="0.25">
      <c r="B4" s="1">
        <v>1</v>
      </c>
      <c r="C4" s="9" t="s">
        <v>6</v>
      </c>
      <c r="D4" t="s">
        <v>10</v>
      </c>
      <c r="E4" t="s">
        <v>8</v>
      </c>
      <c r="F4">
        <v>128</v>
      </c>
      <c r="G4">
        <v>200</v>
      </c>
      <c r="H4" t="s">
        <v>13</v>
      </c>
      <c r="I4" s="24">
        <v>0.38400000000000001</v>
      </c>
      <c r="J4" s="18">
        <v>0.70799999999999996</v>
      </c>
      <c r="K4" s="18">
        <v>0.625</v>
      </c>
      <c r="L4" s="22">
        <f t="shared" ref="L4:L46" si="0">MAX(I4:K4)</f>
        <v>0.70799999999999996</v>
      </c>
      <c r="M4" s="20">
        <v>0.10299999999999999</v>
      </c>
      <c r="N4" s="2">
        <v>0.28699999999999998</v>
      </c>
      <c r="O4" s="2">
        <v>0.29099999999999998</v>
      </c>
      <c r="P4" s="3">
        <f t="shared" ref="P4:P46" si="1">MAX(M4:O4)</f>
        <v>0.29099999999999998</v>
      </c>
    </row>
    <row r="5" spans="2:16" x14ac:dyDescent="0.25">
      <c r="B5" s="1">
        <v>2</v>
      </c>
      <c r="C5" s="9" t="s">
        <v>6</v>
      </c>
      <c r="D5" t="s">
        <v>10</v>
      </c>
      <c r="E5" t="s">
        <v>11</v>
      </c>
      <c r="F5">
        <v>256</v>
      </c>
      <c r="G5">
        <v>200</v>
      </c>
      <c r="H5" t="s">
        <v>13</v>
      </c>
      <c r="I5" s="24">
        <v>0.32100000000000001</v>
      </c>
      <c r="J5" s="18">
        <v>0.72199999999999998</v>
      </c>
      <c r="K5" s="18">
        <v>0.63</v>
      </c>
      <c r="L5" s="22">
        <f t="shared" si="0"/>
        <v>0.72199999999999998</v>
      </c>
      <c r="M5" s="20">
        <v>8.1000000000000003E-2</v>
      </c>
      <c r="N5" s="2">
        <v>0.30099999999999999</v>
      </c>
      <c r="O5" s="2">
        <v>0.30399999999999999</v>
      </c>
      <c r="P5" s="3">
        <f t="shared" si="1"/>
        <v>0.30399999999999999</v>
      </c>
    </row>
    <row r="6" spans="2:16" x14ac:dyDescent="0.25">
      <c r="B6" s="1">
        <v>3</v>
      </c>
      <c r="C6" s="9" t="s">
        <v>6</v>
      </c>
      <c r="D6" t="s">
        <v>10</v>
      </c>
      <c r="E6" t="s">
        <v>12</v>
      </c>
      <c r="F6">
        <v>512</v>
      </c>
      <c r="G6">
        <v>200</v>
      </c>
      <c r="H6" t="s">
        <v>13</v>
      </c>
      <c r="I6" s="24">
        <v>0.33700000000000002</v>
      </c>
      <c r="J6" s="18">
        <v>0.73699999999999999</v>
      </c>
      <c r="K6" s="18">
        <v>0.63400000000000001</v>
      </c>
      <c r="L6" s="22">
        <f t="shared" si="0"/>
        <v>0.73699999999999999</v>
      </c>
      <c r="M6" s="20">
        <v>0.09</v>
      </c>
      <c r="N6" s="2">
        <v>0.309</v>
      </c>
      <c r="O6" s="2">
        <v>0.30099999999999999</v>
      </c>
      <c r="P6" s="3">
        <f t="shared" si="1"/>
        <v>0.309</v>
      </c>
    </row>
    <row r="7" spans="2:16" x14ac:dyDescent="0.25">
      <c r="B7" s="1">
        <v>4</v>
      </c>
      <c r="C7" s="9" t="s">
        <v>6</v>
      </c>
      <c r="E7" t="s">
        <v>15</v>
      </c>
      <c r="F7">
        <v>128</v>
      </c>
      <c r="G7">
        <v>100</v>
      </c>
      <c r="H7" t="s">
        <v>13</v>
      </c>
      <c r="I7" s="24">
        <v>0.38</v>
      </c>
      <c r="J7" s="18">
        <v>0.69899999999999995</v>
      </c>
      <c r="K7" s="18">
        <v>0.61799999999999999</v>
      </c>
      <c r="L7" s="22">
        <f t="shared" si="0"/>
        <v>0.69899999999999995</v>
      </c>
      <c r="M7" s="20">
        <v>0.106</v>
      </c>
      <c r="N7" s="2">
        <v>0.28399999999999997</v>
      </c>
      <c r="O7" s="2">
        <v>0.28699999999999998</v>
      </c>
      <c r="P7" s="3">
        <f t="shared" si="1"/>
        <v>0.28699999999999998</v>
      </c>
    </row>
    <row r="8" spans="2:16" x14ac:dyDescent="0.25">
      <c r="B8" s="1">
        <v>5</v>
      </c>
      <c r="C8" s="9" t="s">
        <v>6</v>
      </c>
      <c r="E8" t="s">
        <v>8</v>
      </c>
      <c r="F8">
        <v>128</v>
      </c>
      <c r="G8">
        <v>200</v>
      </c>
      <c r="H8" t="s">
        <v>13</v>
      </c>
      <c r="I8" s="24">
        <v>0.36499999999999999</v>
      </c>
      <c r="J8" s="18">
        <v>0.7</v>
      </c>
      <c r="K8" s="18">
        <v>0.621</v>
      </c>
      <c r="L8" s="22">
        <f t="shared" si="0"/>
        <v>0.7</v>
      </c>
      <c r="M8" s="20">
        <v>0.09</v>
      </c>
      <c r="N8" s="2">
        <v>0.28000000000000003</v>
      </c>
      <c r="O8" s="2">
        <v>0.28599999999999998</v>
      </c>
      <c r="P8" s="3">
        <f t="shared" si="1"/>
        <v>0.28599999999999998</v>
      </c>
    </row>
    <row r="9" spans="2:16" x14ac:dyDescent="0.25">
      <c r="B9" s="1">
        <v>6</v>
      </c>
      <c r="C9" s="9" t="s">
        <v>6</v>
      </c>
      <c r="E9" t="s">
        <v>16</v>
      </c>
      <c r="F9">
        <v>128</v>
      </c>
      <c r="G9">
        <v>300</v>
      </c>
      <c r="H9" t="s">
        <v>13</v>
      </c>
      <c r="I9" s="24">
        <v>0.36</v>
      </c>
      <c r="J9" s="18">
        <v>0.68400000000000005</v>
      </c>
      <c r="K9" s="18">
        <v>0.60799999999999998</v>
      </c>
      <c r="L9" s="22">
        <f t="shared" si="0"/>
        <v>0.68400000000000005</v>
      </c>
      <c r="M9" s="20">
        <v>8.5000000000000006E-2</v>
      </c>
      <c r="N9" s="2">
        <v>0.26</v>
      </c>
      <c r="O9" s="2">
        <v>0.26700000000000002</v>
      </c>
      <c r="P9" s="3">
        <f t="shared" si="1"/>
        <v>0.26700000000000002</v>
      </c>
    </row>
    <row r="10" spans="2:16" x14ac:dyDescent="0.25">
      <c r="B10" s="1">
        <v>7</v>
      </c>
      <c r="C10" s="9" t="s">
        <v>6</v>
      </c>
      <c r="E10" t="s">
        <v>17</v>
      </c>
      <c r="F10">
        <v>256</v>
      </c>
      <c r="G10">
        <v>100</v>
      </c>
      <c r="H10" t="s">
        <v>13</v>
      </c>
      <c r="I10" s="24">
        <v>0.34300000000000003</v>
      </c>
      <c r="J10" s="18">
        <v>0.72499999999999998</v>
      </c>
      <c r="K10" s="18">
        <v>0.629</v>
      </c>
      <c r="L10" s="22">
        <f t="shared" si="0"/>
        <v>0.72499999999999998</v>
      </c>
      <c r="M10" s="20">
        <v>8.7999999999999995E-2</v>
      </c>
      <c r="N10" s="2">
        <v>0.30399999999999999</v>
      </c>
      <c r="O10" s="2">
        <v>0.3</v>
      </c>
      <c r="P10" s="3">
        <f t="shared" si="1"/>
        <v>0.30399999999999999</v>
      </c>
    </row>
    <row r="11" spans="2:16" x14ac:dyDescent="0.25">
      <c r="B11" s="1">
        <v>8</v>
      </c>
      <c r="C11" s="9" t="s">
        <v>6</v>
      </c>
      <c r="E11" t="s">
        <v>11</v>
      </c>
      <c r="F11">
        <v>256</v>
      </c>
      <c r="G11">
        <v>200</v>
      </c>
      <c r="H11" t="s">
        <v>13</v>
      </c>
      <c r="I11" s="24">
        <v>0.38200000000000001</v>
      </c>
      <c r="J11" s="18">
        <v>0.70899999999999996</v>
      </c>
      <c r="K11" s="18">
        <v>0.61</v>
      </c>
      <c r="L11" s="22">
        <f t="shared" si="0"/>
        <v>0.70899999999999996</v>
      </c>
      <c r="M11" s="20">
        <v>0.10100000000000001</v>
      </c>
      <c r="N11" s="2">
        <v>0.28000000000000003</v>
      </c>
      <c r="O11" s="2">
        <v>0.27200000000000002</v>
      </c>
      <c r="P11" s="3">
        <f t="shared" si="1"/>
        <v>0.28000000000000003</v>
      </c>
    </row>
    <row r="12" spans="2:16" x14ac:dyDescent="0.25">
      <c r="B12" s="1">
        <v>9</v>
      </c>
      <c r="C12" s="9" t="s">
        <v>6</v>
      </c>
      <c r="E12" t="s">
        <v>18</v>
      </c>
      <c r="F12">
        <v>256</v>
      </c>
      <c r="G12">
        <v>300</v>
      </c>
      <c r="H12" t="s">
        <v>13</v>
      </c>
      <c r="I12" s="24">
        <v>0.47599999999999998</v>
      </c>
      <c r="J12" s="18">
        <v>0.69899999999999995</v>
      </c>
      <c r="K12" s="18">
        <v>0.60799999999999998</v>
      </c>
      <c r="L12" s="22">
        <f t="shared" si="0"/>
        <v>0.69899999999999995</v>
      </c>
      <c r="M12" s="20">
        <v>0.155</v>
      </c>
      <c r="N12" s="2">
        <v>0.28399999999999997</v>
      </c>
      <c r="O12" s="2">
        <v>0.27800000000000002</v>
      </c>
      <c r="P12" s="3">
        <f t="shared" si="1"/>
        <v>0.28399999999999997</v>
      </c>
    </row>
    <row r="13" spans="2:16" x14ac:dyDescent="0.25">
      <c r="B13" s="1">
        <v>10</v>
      </c>
      <c r="C13" s="9" t="s">
        <v>6</v>
      </c>
      <c r="E13" t="s">
        <v>19</v>
      </c>
      <c r="F13">
        <v>512</v>
      </c>
      <c r="G13">
        <v>100</v>
      </c>
      <c r="H13" t="s">
        <v>13</v>
      </c>
      <c r="I13" s="24">
        <v>0.34100000000000003</v>
      </c>
      <c r="J13" s="18">
        <v>0.75</v>
      </c>
      <c r="K13" s="18">
        <v>0.63</v>
      </c>
      <c r="L13" s="22">
        <f t="shared" si="0"/>
        <v>0.75</v>
      </c>
      <c r="M13" s="20">
        <v>8.5000000000000006E-2</v>
      </c>
      <c r="N13" s="2">
        <v>0.32500000000000001</v>
      </c>
      <c r="O13" s="2">
        <v>0.312</v>
      </c>
      <c r="P13" s="3">
        <f t="shared" si="1"/>
        <v>0.32500000000000001</v>
      </c>
    </row>
    <row r="14" spans="2:16" x14ac:dyDescent="0.25">
      <c r="B14" s="1">
        <v>11</v>
      </c>
      <c r="C14" s="9" t="s">
        <v>6</v>
      </c>
      <c r="E14" t="s">
        <v>20</v>
      </c>
      <c r="F14">
        <v>512</v>
      </c>
      <c r="G14">
        <v>200</v>
      </c>
      <c r="H14" t="s">
        <v>25</v>
      </c>
      <c r="I14" s="24">
        <v>0.374</v>
      </c>
      <c r="J14" s="18">
        <v>0.71699999999999997</v>
      </c>
      <c r="K14" s="18">
        <v>0.60299999999999998</v>
      </c>
      <c r="L14" s="22">
        <f t="shared" si="0"/>
        <v>0.71699999999999997</v>
      </c>
      <c r="M14" s="20">
        <v>9.5000000000000001E-2</v>
      </c>
      <c r="N14" s="2">
        <v>0.27700000000000002</v>
      </c>
      <c r="O14" s="2">
        <v>0.26900000000000002</v>
      </c>
      <c r="P14" s="3">
        <f t="shared" si="1"/>
        <v>0.27700000000000002</v>
      </c>
    </row>
    <row r="15" spans="2:16" x14ac:dyDescent="0.25">
      <c r="B15" s="1">
        <v>12</v>
      </c>
      <c r="C15" s="9" t="s">
        <v>6</v>
      </c>
      <c r="E15" t="s">
        <v>12</v>
      </c>
      <c r="F15">
        <v>512</v>
      </c>
      <c r="G15">
        <v>200</v>
      </c>
      <c r="H15" t="s">
        <v>13</v>
      </c>
      <c r="I15" s="24">
        <v>0.39600000000000002</v>
      </c>
      <c r="J15" s="18">
        <v>0.70699999999999996</v>
      </c>
      <c r="K15" s="18">
        <v>0.59399999999999997</v>
      </c>
      <c r="L15" s="22">
        <f t="shared" si="0"/>
        <v>0.70699999999999996</v>
      </c>
      <c r="M15" s="20">
        <v>0.10199999999999999</v>
      </c>
      <c r="N15" s="2">
        <v>0.25600000000000001</v>
      </c>
      <c r="O15" s="2">
        <v>0.25900000000000001</v>
      </c>
      <c r="P15" s="3">
        <f t="shared" si="1"/>
        <v>0.25900000000000001</v>
      </c>
    </row>
    <row r="16" spans="2:16" x14ac:dyDescent="0.25">
      <c r="B16" s="1">
        <v>13</v>
      </c>
      <c r="C16" s="9" t="s">
        <v>6</v>
      </c>
      <c r="E16" t="s">
        <v>21</v>
      </c>
      <c r="F16">
        <v>512</v>
      </c>
      <c r="G16">
        <v>200</v>
      </c>
      <c r="H16" t="s">
        <v>26</v>
      </c>
      <c r="I16" s="24">
        <v>0.42799999999999999</v>
      </c>
      <c r="J16" s="18">
        <v>0.71399999999999997</v>
      </c>
      <c r="K16" s="18">
        <v>0.60099999999999998</v>
      </c>
      <c r="L16" s="22">
        <f t="shared" si="0"/>
        <v>0.71399999999999997</v>
      </c>
      <c r="M16" s="20">
        <v>0.128</v>
      </c>
      <c r="N16" s="2">
        <v>0.27800000000000002</v>
      </c>
      <c r="O16" s="2">
        <v>0.26400000000000001</v>
      </c>
      <c r="P16" s="3">
        <f t="shared" si="1"/>
        <v>0.27800000000000002</v>
      </c>
    </row>
    <row r="17" spans="2:16" x14ac:dyDescent="0.25">
      <c r="B17" s="1">
        <v>14</v>
      </c>
      <c r="C17" s="9" t="s">
        <v>6</v>
      </c>
      <c r="E17" t="s">
        <v>22</v>
      </c>
      <c r="F17">
        <v>512</v>
      </c>
      <c r="G17">
        <v>200</v>
      </c>
      <c r="H17" t="s">
        <v>27</v>
      </c>
      <c r="I17" s="24">
        <v>0.36499999999999999</v>
      </c>
      <c r="J17" s="18">
        <v>0.71599999999999997</v>
      </c>
      <c r="K17" s="18">
        <v>0.57699999999999996</v>
      </c>
      <c r="L17" s="22">
        <f t="shared" si="0"/>
        <v>0.71599999999999997</v>
      </c>
      <c r="M17" s="20">
        <v>9.5000000000000001E-2</v>
      </c>
      <c r="N17" s="2">
        <v>0.30199999999999999</v>
      </c>
      <c r="O17" s="2">
        <v>0.27400000000000002</v>
      </c>
      <c r="P17" s="3">
        <f t="shared" si="1"/>
        <v>0.30199999999999999</v>
      </c>
    </row>
    <row r="18" spans="2:16" x14ac:dyDescent="0.25">
      <c r="B18" s="1">
        <v>15</v>
      </c>
      <c r="C18" s="9" t="s">
        <v>6</v>
      </c>
      <c r="E18" t="s">
        <v>23</v>
      </c>
      <c r="F18">
        <v>512</v>
      </c>
      <c r="G18">
        <v>300</v>
      </c>
      <c r="H18" t="s">
        <v>13</v>
      </c>
      <c r="I18" s="24">
        <v>0.47899999999999998</v>
      </c>
      <c r="J18" s="18">
        <v>0.67</v>
      </c>
      <c r="K18" s="18">
        <v>0.56599999999999995</v>
      </c>
      <c r="L18" s="22">
        <f t="shared" si="0"/>
        <v>0.67</v>
      </c>
      <c r="M18" s="20">
        <v>0.13900000000000001</v>
      </c>
      <c r="N18" s="2">
        <v>0.23400000000000001</v>
      </c>
      <c r="O18" s="2">
        <v>0.23</v>
      </c>
      <c r="P18" s="3">
        <f t="shared" si="1"/>
        <v>0.23400000000000001</v>
      </c>
    </row>
    <row r="19" spans="2:16" x14ac:dyDescent="0.25">
      <c r="B19" s="1">
        <v>16</v>
      </c>
      <c r="C19" s="9" t="s">
        <v>6</v>
      </c>
      <c r="D19" t="s">
        <v>24</v>
      </c>
      <c r="E19" t="s">
        <v>8</v>
      </c>
      <c r="F19">
        <v>128</v>
      </c>
      <c r="G19">
        <v>200</v>
      </c>
      <c r="H19" t="s">
        <v>13</v>
      </c>
      <c r="I19" s="24">
        <v>0.318</v>
      </c>
      <c r="J19" s="18">
        <v>0.71099999999999997</v>
      </c>
      <c r="K19" s="18">
        <v>0.66700000000000004</v>
      </c>
      <c r="L19" s="22">
        <f t="shared" si="0"/>
        <v>0.71099999999999997</v>
      </c>
      <c r="M19" s="20">
        <v>9.9000000000000005E-2</v>
      </c>
      <c r="N19" s="2">
        <v>0.27100000000000002</v>
      </c>
      <c r="O19" s="2">
        <v>0.307</v>
      </c>
      <c r="P19" s="3">
        <f t="shared" si="1"/>
        <v>0.307</v>
      </c>
    </row>
    <row r="20" spans="2:16" x14ac:dyDescent="0.25">
      <c r="B20" s="1">
        <v>17</v>
      </c>
      <c r="C20" s="9" t="s">
        <v>6</v>
      </c>
      <c r="D20" t="s">
        <v>24</v>
      </c>
      <c r="E20" t="s">
        <v>11</v>
      </c>
      <c r="F20">
        <v>256</v>
      </c>
      <c r="G20">
        <v>200</v>
      </c>
      <c r="H20" t="s">
        <v>13</v>
      </c>
      <c r="I20" s="24">
        <v>0.36299999999999999</v>
      </c>
      <c r="J20" s="18">
        <v>0.74</v>
      </c>
      <c r="K20" s="18">
        <v>0.68200000000000005</v>
      </c>
      <c r="L20" s="22">
        <f t="shared" si="0"/>
        <v>0.74</v>
      </c>
      <c r="M20" s="20">
        <v>0.13200000000000001</v>
      </c>
      <c r="N20" s="2">
        <v>0.3</v>
      </c>
      <c r="O20" s="2">
        <v>0.33300000000000002</v>
      </c>
      <c r="P20" s="3">
        <f t="shared" si="1"/>
        <v>0.33300000000000002</v>
      </c>
    </row>
    <row r="21" spans="2:16" x14ac:dyDescent="0.25">
      <c r="B21" s="1">
        <v>18</v>
      </c>
      <c r="C21" s="9" t="s">
        <v>6</v>
      </c>
      <c r="D21" t="s">
        <v>24</v>
      </c>
      <c r="E21" t="s">
        <v>12</v>
      </c>
      <c r="F21">
        <v>512</v>
      </c>
      <c r="G21">
        <v>200</v>
      </c>
      <c r="H21" t="s">
        <v>13</v>
      </c>
      <c r="I21" s="24">
        <v>0.39400000000000002</v>
      </c>
      <c r="J21" s="18">
        <v>0.77400000000000002</v>
      </c>
      <c r="K21" s="18">
        <v>0.69499999999999995</v>
      </c>
      <c r="L21" s="22">
        <f t="shared" si="0"/>
        <v>0.77400000000000002</v>
      </c>
      <c r="M21" s="20">
        <v>0.154</v>
      </c>
      <c r="N21" s="2">
        <v>0.36399999999999999</v>
      </c>
      <c r="O21" s="2">
        <v>0.38600000000000001</v>
      </c>
      <c r="P21" s="3">
        <f t="shared" si="1"/>
        <v>0.38600000000000001</v>
      </c>
    </row>
    <row r="22" spans="2:16" x14ac:dyDescent="0.25">
      <c r="B22" s="1">
        <v>19</v>
      </c>
      <c r="C22" s="9" t="s">
        <v>28</v>
      </c>
      <c r="E22" t="s">
        <v>8</v>
      </c>
      <c r="F22">
        <v>128</v>
      </c>
      <c r="G22">
        <v>200</v>
      </c>
      <c r="H22" t="s">
        <v>13</v>
      </c>
      <c r="I22" s="24">
        <v>0.60199999999999998</v>
      </c>
      <c r="J22" s="18">
        <v>0.69499999999999995</v>
      </c>
      <c r="K22" s="18">
        <v>0.70799999999999996</v>
      </c>
      <c r="L22" s="22">
        <f t="shared" si="0"/>
        <v>0.70799999999999996</v>
      </c>
      <c r="M22" s="20">
        <v>0.218</v>
      </c>
      <c r="N22" s="2">
        <v>0.253</v>
      </c>
      <c r="O22" s="2">
        <v>0.25700000000000001</v>
      </c>
      <c r="P22" s="3">
        <f t="shared" si="1"/>
        <v>0.25700000000000001</v>
      </c>
    </row>
    <row r="23" spans="2:16" x14ac:dyDescent="0.25">
      <c r="B23" s="1">
        <v>20</v>
      </c>
      <c r="C23" s="9" t="s">
        <v>28</v>
      </c>
      <c r="E23" t="s">
        <v>17</v>
      </c>
      <c r="F23">
        <v>256</v>
      </c>
      <c r="G23">
        <v>100</v>
      </c>
      <c r="H23" t="s">
        <v>13</v>
      </c>
      <c r="I23" s="24">
        <v>0.64400000000000002</v>
      </c>
      <c r="J23" s="18">
        <v>0.73699999999999999</v>
      </c>
      <c r="K23" s="18">
        <v>0.748</v>
      </c>
      <c r="L23" s="22">
        <f t="shared" si="0"/>
        <v>0.748</v>
      </c>
      <c r="M23" s="20">
        <v>0.23899999999999999</v>
      </c>
      <c r="N23" s="2">
        <v>0.28699999999999998</v>
      </c>
      <c r="O23" s="2">
        <v>0.29699999999999999</v>
      </c>
      <c r="P23" s="3">
        <f t="shared" si="1"/>
        <v>0.29699999999999999</v>
      </c>
    </row>
    <row r="24" spans="2:16" x14ac:dyDescent="0.25">
      <c r="B24" s="1">
        <v>21</v>
      </c>
      <c r="C24" s="9" t="s">
        <v>28</v>
      </c>
      <c r="E24" t="s">
        <v>11</v>
      </c>
      <c r="F24">
        <v>256</v>
      </c>
      <c r="G24">
        <v>200</v>
      </c>
      <c r="H24" t="s">
        <v>13</v>
      </c>
      <c r="I24" s="24">
        <v>0.66</v>
      </c>
      <c r="J24" s="18">
        <v>0.73699999999999999</v>
      </c>
      <c r="K24" s="18">
        <v>0.745</v>
      </c>
      <c r="L24" s="22">
        <f t="shared" si="0"/>
        <v>0.745</v>
      </c>
      <c r="M24" s="20">
        <v>0.24399999999999999</v>
      </c>
      <c r="N24" s="2">
        <v>0.29099999999999998</v>
      </c>
      <c r="O24" s="2">
        <v>0.29799999999999999</v>
      </c>
      <c r="P24" s="3">
        <f t="shared" si="1"/>
        <v>0.29799999999999999</v>
      </c>
    </row>
    <row r="25" spans="2:16" x14ac:dyDescent="0.25">
      <c r="B25" s="1">
        <v>22</v>
      </c>
      <c r="C25" s="9" t="s">
        <v>28</v>
      </c>
      <c r="E25" t="s">
        <v>19</v>
      </c>
      <c r="F25">
        <v>512</v>
      </c>
      <c r="G25">
        <v>100</v>
      </c>
      <c r="H25" t="s">
        <v>13</v>
      </c>
      <c r="I25" s="24">
        <v>0.60799999999999998</v>
      </c>
      <c r="J25" s="18">
        <v>0.70399999999999996</v>
      </c>
      <c r="K25" s="18">
        <v>0.71499999999999997</v>
      </c>
      <c r="L25" s="22">
        <f t="shared" si="0"/>
        <v>0.71499999999999997</v>
      </c>
      <c r="M25" s="20">
        <v>0.23300000000000001</v>
      </c>
      <c r="N25" s="2">
        <v>0.28399999999999997</v>
      </c>
      <c r="O25" s="2">
        <v>0.29499999999999998</v>
      </c>
      <c r="P25" s="3">
        <f t="shared" si="1"/>
        <v>0.29499999999999998</v>
      </c>
    </row>
    <row r="26" spans="2:16" x14ac:dyDescent="0.25">
      <c r="B26" s="1">
        <v>23</v>
      </c>
      <c r="C26" s="9" t="s">
        <v>28</v>
      </c>
      <c r="E26" t="s">
        <v>12</v>
      </c>
      <c r="F26">
        <v>512</v>
      </c>
      <c r="G26">
        <v>200</v>
      </c>
      <c r="H26" t="s">
        <v>13</v>
      </c>
      <c r="I26" s="24">
        <v>0.6</v>
      </c>
      <c r="J26" s="18">
        <v>0.68400000000000005</v>
      </c>
      <c r="K26" s="18">
        <v>0.69299999999999995</v>
      </c>
      <c r="L26" s="22">
        <f t="shared" si="0"/>
        <v>0.69299999999999995</v>
      </c>
      <c r="M26" s="20">
        <v>0.22</v>
      </c>
      <c r="N26" s="2">
        <v>0.26400000000000001</v>
      </c>
      <c r="O26" s="2">
        <v>0.27400000000000002</v>
      </c>
      <c r="P26" s="3">
        <f t="shared" si="1"/>
        <v>0.27400000000000002</v>
      </c>
    </row>
    <row r="27" spans="2:16" x14ac:dyDescent="0.25">
      <c r="B27" s="1">
        <v>24</v>
      </c>
      <c r="C27" s="9" t="s">
        <v>28</v>
      </c>
      <c r="D27" t="s">
        <v>32</v>
      </c>
      <c r="E27" t="s">
        <v>8</v>
      </c>
      <c r="F27">
        <v>128</v>
      </c>
      <c r="G27">
        <v>200</v>
      </c>
      <c r="H27" t="s">
        <v>13</v>
      </c>
      <c r="I27" s="24">
        <v>0.57299999999999995</v>
      </c>
      <c r="J27" s="18">
        <v>0.70699999999999996</v>
      </c>
      <c r="K27" s="18">
        <v>0.70199999999999996</v>
      </c>
      <c r="L27" s="22">
        <f t="shared" si="0"/>
        <v>0.70699999999999996</v>
      </c>
      <c r="M27" s="20">
        <v>0.188</v>
      </c>
      <c r="N27" s="2">
        <v>0.26800000000000002</v>
      </c>
      <c r="O27" s="2">
        <v>0.27600000000000002</v>
      </c>
      <c r="P27" s="3">
        <f t="shared" si="1"/>
        <v>0.27600000000000002</v>
      </c>
    </row>
    <row r="28" spans="2:16" x14ac:dyDescent="0.25">
      <c r="B28" s="1">
        <v>25</v>
      </c>
      <c r="C28" s="9" t="s">
        <v>28</v>
      </c>
      <c r="D28" t="s">
        <v>32</v>
      </c>
      <c r="E28" t="s">
        <v>11</v>
      </c>
      <c r="F28">
        <v>256</v>
      </c>
      <c r="G28">
        <v>200</v>
      </c>
      <c r="H28" t="s">
        <v>13</v>
      </c>
      <c r="I28" s="24">
        <v>0.66200000000000003</v>
      </c>
      <c r="J28" s="18">
        <v>0.72</v>
      </c>
      <c r="K28" s="18">
        <v>0.70499999999999996</v>
      </c>
      <c r="L28" s="22">
        <f t="shared" si="0"/>
        <v>0.72</v>
      </c>
      <c r="M28" s="20">
        <v>0.25</v>
      </c>
      <c r="N28" s="2">
        <v>0.28599999999999998</v>
      </c>
      <c r="O28" s="2">
        <v>0.29099999999999998</v>
      </c>
      <c r="P28" s="3">
        <f t="shared" si="1"/>
        <v>0.29099999999999998</v>
      </c>
    </row>
    <row r="29" spans="2:16" x14ac:dyDescent="0.25">
      <c r="B29" s="1">
        <v>26</v>
      </c>
      <c r="C29" s="9" t="s">
        <v>28</v>
      </c>
      <c r="D29" t="s">
        <v>32</v>
      </c>
      <c r="E29" t="s">
        <v>12</v>
      </c>
      <c r="F29">
        <v>512</v>
      </c>
      <c r="G29">
        <v>200</v>
      </c>
      <c r="H29" t="s">
        <v>13</v>
      </c>
      <c r="I29" s="24">
        <v>0.61499999999999999</v>
      </c>
      <c r="J29" s="18">
        <v>0.67900000000000005</v>
      </c>
      <c r="K29" s="18">
        <v>0.66600000000000004</v>
      </c>
      <c r="L29" s="22">
        <f t="shared" si="0"/>
        <v>0.67900000000000005</v>
      </c>
      <c r="M29" s="20">
        <v>0.22700000000000001</v>
      </c>
      <c r="N29" s="2">
        <v>0.26700000000000002</v>
      </c>
      <c r="O29" s="2">
        <v>0.27200000000000002</v>
      </c>
      <c r="P29" s="3">
        <f t="shared" si="1"/>
        <v>0.27200000000000002</v>
      </c>
    </row>
    <row r="30" spans="2:16" x14ac:dyDescent="0.25">
      <c r="B30" s="1">
        <v>27</v>
      </c>
      <c r="C30" s="9" t="s">
        <v>28</v>
      </c>
      <c r="D30" t="s">
        <v>33</v>
      </c>
      <c r="E30" t="s">
        <v>8</v>
      </c>
      <c r="F30">
        <v>128</v>
      </c>
      <c r="G30">
        <v>200</v>
      </c>
      <c r="H30" t="s">
        <v>13</v>
      </c>
      <c r="I30" s="24">
        <v>0.55900000000000005</v>
      </c>
      <c r="J30" s="18">
        <v>0.69299999999999995</v>
      </c>
      <c r="K30" s="18">
        <v>0.63800000000000001</v>
      </c>
      <c r="L30" s="22">
        <f t="shared" si="0"/>
        <v>0.69299999999999995</v>
      </c>
      <c r="M30" s="20">
        <v>0.17499999999999999</v>
      </c>
      <c r="N30" s="2">
        <v>0.26100000000000001</v>
      </c>
      <c r="O30" s="2">
        <v>0.27200000000000002</v>
      </c>
      <c r="P30" s="3">
        <f t="shared" si="1"/>
        <v>0.27200000000000002</v>
      </c>
    </row>
    <row r="31" spans="2:16" x14ac:dyDescent="0.25">
      <c r="B31" s="1">
        <v>28</v>
      </c>
      <c r="C31" s="9" t="s">
        <v>28</v>
      </c>
      <c r="D31" t="s">
        <v>33</v>
      </c>
      <c r="E31" t="s">
        <v>11</v>
      </c>
      <c r="F31">
        <v>256</v>
      </c>
      <c r="G31">
        <v>200</v>
      </c>
      <c r="H31" t="s">
        <v>13</v>
      </c>
      <c r="I31" s="24">
        <v>0.65</v>
      </c>
      <c r="J31" s="18">
        <v>0.70399999999999996</v>
      </c>
      <c r="K31" s="18">
        <v>0.63</v>
      </c>
      <c r="L31" s="22">
        <f t="shared" si="0"/>
        <v>0.70399999999999996</v>
      </c>
      <c r="M31" s="20">
        <v>0.253</v>
      </c>
      <c r="N31" s="2">
        <v>0.29099999999999998</v>
      </c>
      <c r="O31" s="2">
        <v>0.28799999999999998</v>
      </c>
      <c r="P31" s="3">
        <f t="shared" si="1"/>
        <v>0.29099999999999998</v>
      </c>
    </row>
    <row r="32" spans="2:16" x14ac:dyDescent="0.25">
      <c r="B32" s="1">
        <v>29</v>
      </c>
      <c r="C32" s="9" t="s">
        <v>28</v>
      </c>
      <c r="D32" t="s">
        <v>33</v>
      </c>
      <c r="E32" t="s">
        <v>12</v>
      </c>
      <c r="F32">
        <v>512</v>
      </c>
      <c r="G32">
        <v>200</v>
      </c>
      <c r="H32" t="s">
        <v>13</v>
      </c>
      <c r="I32" s="24">
        <v>0.60199999999999998</v>
      </c>
      <c r="J32" s="18">
        <v>0.67</v>
      </c>
      <c r="K32" s="18">
        <v>0.59</v>
      </c>
      <c r="L32" s="22">
        <f t="shared" si="0"/>
        <v>0.67</v>
      </c>
      <c r="M32" s="20">
        <v>0.22900000000000001</v>
      </c>
      <c r="N32" s="2">
        <v>0.27400000000000002</v>
      </c>
      <c r="O32" s="2">
        <v>0.26700000000000002</v>
      </c>
      <c r="P32" s="3">
        <f t="shared" si="1"/>
        <v>0.27400000000000002</v>
      </c>
    </row>
    <row r="33" spans="2:20" x14ac:dyDescent="0.25">
      <c r="B33" s="1">
        <v>30</v>
      </c>
      <c r="C33" s="9" t="s">
        <v>28</v>
      </c>
      <c r="D33" t="s">
        <v>34</v>
      </c>
      <c r="E33" t="s">
        <v>29</v>
      </c>
      <c r="F33">
        <v>128</v>
      </c>
      <c r="G33">
        <v>200</v>
      </c>
      <c r="H33" t="s">
        <v>13</v>
      </c>
      <c r="I33" s="24">
        <v>0.49199999999999999</v>
      </c>
      <c r="J33" s="18">
        <v>0.58199999999999996</v>
      </c>
      <c r="K33" s="18">
        <v>0.60599999999999998</v>
      </c>
      <c r="L33" s="22">
        <f t="shared" si="0"/>
        <v>0.60599999999999998</v>
      </c>
      <c r="M33" s="20">
        <v>0.188</v>
      </c>
      <c r="N33" s="2">
        <v>0.20699999999999999</v>
      </c>
      <c r="O33" s="2">
        <v>0.215</v>
      </c>
      <c r="P33" s="3">
        <f t="shared" si="1"/>
        <v>0.215</v>
      </c>
    </row>
    <row r="34" spans="2:20" x14ac:dyDescent="0.25">
      <c r="B34" s="1">
        <v>31</v>
      </c>
      <c r="C34" s="9" t="s">
        <v>28</v>
      </c>
      <c r="D34" t="s">
        <v>34</v>
      </c>
      <c r="E34" t="s">
        <v>31</v>
      </c>
      <c r="F34">
        <v>256</v>
      </c>
      <c r="G34">
        <v>200</v>
      </c>
      <c r="H34" t="s">
        <v>13</v>
      </c>
      <c r="I34" s="24">
        <v>0.60399999999999998</v>
      </c>
      <c r="J34" s="18">
        <v>0.67300000000000004</v>
      </c>
      <c r="K34" s="18">
        <v>0.68400000000000005</v>
      </c>
      <c r="L34" s="22">
        <f t="shared" si="0"/>
        <v>0.68400000000000005</v>
      </c>
      <c r="M34" s="20">
        <v>0.23599999999999999</v>
      </c>
      <c r="N34" s="2">
        <v>0.26300000000000001</v>
      </c>
      <c r="O34" s="2">
        <v>0.27100000000000002</v>
      </c>
      <c r="P34" s="3">
        <f t="shared" si="1"/>
        <v>0.27100000000000002</v>
      </c>
    </row>
    <row r="35" spans="2:20" x14ac:dyDescent="0.25">
      <c r="B35" s="1">
        <v>32</v>
      </c>
      <c r="C35" s="9" t="s">
        <v>28</v>
      </c>
      <c r="D35" t="s">
        <v>34</v>
      </c>
      <c r="E35" t="s">
        <v>30</v>
      </c>
      <c r="F35">
        <v>512</v>
      </c>
      <c r="G35">
        <v>200</v>
      </c>
      <c r="H35" t="s">
        <v>13</v>
      </c>
      <c r="I35" s="24">
        <v>0.55900000000000005</v>
      </c>
      <c r="J35" s="18">
        <v>0.67400000000000004</v>
      </c>
      <c r="K35" s="18">
        <v>0.68500000000000005</v>
      </c>
      <c r="L35" s="22">
        <f t="shared" si="0"/>
        <v>0.68500000000000005</v>
      </c>
      <c r="M35" s="20">
        <v>0.188</v>
      </c>
      <c r="N35" s="2">
        <v>0.253</v>
      </c>
      <c r="O35" s="2">
        <v>0.26200000000000001</v>
      </c>
      <c r="P35" s="3">
        <f t="shared" si="1"/>
        <v>0.26200000000000001</v>
      </c>
    </row>
    <row r="36" spans="2:20" x14ac:dyDescent="0.25">
      <c r="B36" s="1">
        <v>33</v>
      </c>
      <c r="C36" s="9" t="s">
        <v>35</v>
      </c>
      <c r="E36" t="s">
        <v>8</v>
      </c>
      <c r="F36">
        <v>128</v>
      </c>
      <c r="G36">
        <v>200</v>
      </c>
      <c r="H36" t="s">
        <v>13</v>
      </c>
      <c r="I36" s="24">
        <v>0.49099999999999999</v>
      </c>
      <c r="J36" s="18">
        <v>0.63700000000000001</v>
      </c>
      <c r="K36" s="18">
        <v>0.69299999999999995</v>
      </c>
      <c r="L36" s="22">
        <f t="shared" si="0"/>
        <v>0.69299999999999995</v>
      </c>
      <c r="M36" s="20">
        <v>0.16800000000000001</v>
      </c>
      <c r="N36" s="2">
        <v>0.22</v>
      </c>
      <c r="O36" s="2">
        <v>0.25</v>
      </c>
      <c r="P36" s="3">
        <f t="shared" si="1"/>
        <v>0.25</v>
      </c>
    </row>
    <row r="37" spans="2:20" x14ac:dyDescent="0.25">
      <c r="B37" s="1">
        <v>34</v>
      </c>
      <c r="C37" s="9" t="s">
        <v>35</v>
      </c>
      <c r="E37" t="s">
        <v>17</v>
      </c>
      <c r="F37">
        <v>256</v>
      </c>
      <c r="G37">
        <v>100</v>
      </c>
      <c r="H37" t="s">
        <v>13</v>
      </c>
      <c r="I37" s="24">
        <v>0.504</v>
      </c>
      <c r="J37" s="18">
        <v>0.67400000000000004</v>
      </c>
      <c r="K37" s="18">
        <v>0.73499999999999999</v>
      </c>
      <c r="L37" s="22">
        <f t="shared" si="0"/>
        <v>0.73499999999999999</v>
      </c>
      <c r="M37" s="20">
        <v>0.17699999999999999</v>
      </c>
      <c r="N37" s="2">
        <v>0.249</v>
      </c>
      <c r="O37" s="2">
        <v>0.29499999999999998</v>
      </c>
      <c r="P37" s="3">
        <f t="shared" si="1"/>
        <v>0.29499999999999998</v>
      </c>
    </row>
    <row r="38" spans="2:20" x14ac:dyDescent="0.25">
      <c r="B38" s="1">
        <v>35</v>
      </c>
      <c r="C38" s="9" t="s">
        <v>35</v>
      </c>
      <c r="E38" t="s">
        <v>11</v>
      </c>
      <c r="F38">
        <v>256</v>
      </c>
      <c r="G38">
        <v>200</v>
      </c>
      <c r="H38" t="s">
        <v>13</v>
      </c>
      <c r="I38" s="24">
        <v>0.57399999999999995</v>
      </c>
      <c r="J38" s="18">
        <v>0.7</v>
      </c>
      <c r="K38" s="18">
        <v>0.73299999999999998</v>
      </c>
      <c r="L38" s="22">
        <f t="shared" si="0"/>
        <v>0.73299999999999998</v>
      </c>
      <c r="M38" s="20">
        <v>0.20399999999999999</v>
      </c>
      <c r="N38" s="2">
        <v>0.26200000000000001</v>
      </c>
      <c r="O38" s="2">
        <v>0.28799999999999998</v>
      </c>
      <c r="P38" s="3">
        <f t="shared" si="1"/>
        <v>0.28799999999999998</v>
      </c>
    </row>
    <row r="39" spans="2:20" x14ac:dyDescent="0.25">
      <c r="B39" s="1">
        <v>36</v>
      </c>
      <c r="C39" s="9" t="s">
        <v>35</v>
      </c>
      <c r="E39" t="s">
        <v>19</v>
      </c>
      <c r="F39">
        <v>512</v>
      </c>
      <c r="G39">
        <v>100</v>
      </c>
      <c r="H39" t="s">
        <v>13</v>
      </c>
      <c r="I39" s="24">
        <v>0.40400000000000003</v>
      </c>
      <c r="J39" s="18">
        <v>0.60299999999999998</v>
      </c>
      <c r="K39" s="18">
        <v>0.71399999999999997</v>
      </c>
      <c r="L39" s="22">
        <f t="shared" si="0"/>
        <v>0.71399999999999997</v>
      </c>
      <c r="M39" s="20">
        <v>0.13200000000000001</v>
      </c>
      <c r="N39" s="2">
        <v>0.20100000000000001</v>
      </c>
      <c r="O39" s="2">
        <v>0.3</v>
      </c>
      <c r="P39" s="3">
        <f t="shared" si="1"/>
        <v>0.3</v>
      </c>
    </row>
    <row r="40" spans="2:20" x14ac:dyDescent="0.25">
      <c r="B40" s="1">
        <v>37</v>
      </c>
      <c r="C40" s="9" t="s">
        <v>35</v>
      </c>
      <c r="E40" t="s">
        <v>12</v>
      </c>
      <c r="F40">
        <v>512</v>
      </c>
      <c r="G40">
        <v>200</v>
      </c>
      <c r="H40" t="s">
        <v>13</v>
      </c>
      <c r="I40" s="24">
        <v>0.42899999999999999</v>
      </c>
      <c r="J40" s="18">
        <v>0.61699999999999999</v>
      </c>
      <c r="K40" s="18">
        <v>0.67100000000000004</v>
      </c>
      <c r="L40" s="22">
        <f t="shared" si="0"/>
        <v>0.67100000000000004</v>
      </c>
      <c r="M40" s="20">
        <v>0.127</v>
      </c>
      <c r="N40" s="2">
        <v>0.19600000000000001</v>
      </c>
      <c r="O40" s="2">
        <v>0.252</v>
      </c>
      <c r="P40" s="3">
        <f t="shared" si="1"/>
        <v>0.252</v>
      </c>
    </row>
    <row r="41" spans="2:20" x14ac:dyDescent="0.25">
      <c r="B41" s="1">
        <v>38</v>
      </c>
      <c r="C41" s="9" t="s">
        <v>35</v>
      </c>
      <c r="D41" t="s">
        <v>32</v>
      </c>
      <c r="E41" t="s">
        <v>8</v>
      </c>
      <c r="F41">
        <v>128</v>
      </c>
      <c r="G41">
        <v>200</v>
      </c>
      <c r="H41" t="s">
        <v>13</v>
      </c>
      <c r="I41" s="9">
        <v>0.51800000000000002</v>
      </c>
      <c r="J41" s="18">
        <v>0.68100000000000005</v>
      </c>
      <c r="K41" s="18">
        <v>0.70099999999999996</v>
      </c>
      <c r="L41" s="22">
        <f t="shared" si="0"/>
        <v>0.70099999999999996</v>
      </c>
      <c r="M41" s="9">
        <v>0.17599999999999999</v>
      </c>
      <c r="N41" s="2">
        <v>0.254</v>
      </c>
      <c r="O41" s="2">
        <v>0.27300000000000002</v>
      </c>
      <c r="P41" s="3">
        <f t="shared" si="1"/>
        <v>0.27300000000000002</v>
      </c>
      <c r="T41" s="3"/>
    </row>
    <row r="42" spans="2:20" x14ac:dyDescent="0.25">
      <c r="B42" s="1">
        <v>39</v>
      </c>
      <c r="C42" s="9" t="s">
        <v>35</v>
      </c>
      <c r="D42" t="s">
        <v>32</v>
      </c>
      <c r="E42" t="s">
        <v>11</v>
      </c>
      <c r="F42">
        <v>256</v>
      </c>
      <c r="G42">
        <v>200</v>
      </c>
      <c r="H42" t="s">
        <v>13</v>
      </c>
      <c r="I42" s="9">
        <v>0.61299999999999999</v>
      </c>
      <c r="J42" s="18">
        <v>0.72199999999999998</v>
      </c>
      <c r="K42" s="18">
        <v>0.71199999999999997</v>
      </c>
      <c r="L42" s="22">
        <f t="shared" si="0"/>
        <v>0.72199999999999998</v>
      </c>
      <c r="M42" s="9">
        <v>0.23</v>
      </c>
      <c r="N42" s="2">
        <v>0.28699999999999998</v>
      </c>
      <c r="O42" s="2">
        <v>0.3</v>
      </c>
      <c r="P42" s="3">
        <f t="shared" si="1"/>
        <v>0.3</v>
      </c>
      <c r="T42" s="3"/>
    </row>
    <row r="43" spans="2:20" x14ac:dyDescent="0.25">
      <c r="B43" s="1">
        <v>40</v>
      </c>
      <c r="C43" s="9" t="s">
        <v>35</v>
      </c>
      <c r="D43" t="s">
        <v>32</v>
      </c>
      <c r="E43" t="s">
        <v>12</v>
      </c>
      <c r="F43">
        <v>512</v>
      </c>
      <c r="G43">
        <v>200</v>
      </c>
      <c r="H43" t="s">
        <v>13</v>
      </c>
      <c r="I43" s="9">
        <v>0.52800000000000002</v>
      </c>
      <c r="J43" s="18">
        <v>0.69599999999999995</v>
      </c>
      <c r="K43" s="18">
        <v>0.68600000000000005</v>
      </c>
      <c r="L43" s="22">
        <f t="shared" si="0"/>
        <v>0.69599999999999995</v>
      </c>
      <c r="M43" s="9">
        <v>0.18099999999999999</v>
      </c>
      <c r="N43" s="2">
        <v>0.26100000000000001</v>
      </c>
      <c r="O43" s="2">
        <v>0.29099999999999998</v>
      </c>
      <c r="P43" s="3">
        <f t="shared" si="1"/>
        <v>0.29099999999999998</v>
      </c>
      <c r="T43" s="3"/>
    </row>
    <row r="44" spans="2:20" x14ac:dyDescent="0.25">
      <c r="B44" s="1">
        <v>41</v>
      </c>
      <c r="C44" s="9" t="s">
        <v>35</v>
      </c>
      <c r="D44" t="s">
        <v>33</v>
      </c>
      <c r="E44" t="s">
        <v>8</v>
      </c>
      <c r="F44">
        <v>128</v>
      </c>
      <c r="G44">
        <v>200</v>
      </c>
      <c r="H44" t="s">
        <v>13</v>
      </c>
      <c r="I44" s="9">
        <v>0.60299999999999998</v>
      </c>
      <c r="J44" s="18">
        <v>0.69899999999999995</v>
      </c>
      <c r="K44" s="18">
        <v>0.64200000000000002</v>
      </c>
      <c r="L44" s="22">
        <f t="shared" si="0"/>
        <v>0.69899999999999995</v>
      </c>
      <c r="M44" s="9">
        <v>0.21299999999999999</v>
      </c>
      <c r="N44" s="2">
        <v>0.27100000000000002</v>
      </c>
      <c r="O44" s="2">
        <v>0.27900000000000003</v>
      </c>
      <c r="P44" s="3">
        <f t="shared" si="1"/>
        <v>0.27900000000000003</v>
      </c>
      <c r="T44" s="3"/>
    </row>
    <row r="45" spans="2:20" x14ac:dyDescent="0.25">
      <c r="B45" s="1">
        <v>42</v>
      </c>
      <c r="C45" s="9" t="s">
        <v>35</v>
      </c>
      <c r="D45" t="s">
        <v>33</v>
      </c>
      <c r="E45" t="s">
        <v>11</v>
      </c>
      <c r="F45">
        <v>256</v>
      </c>
      <c r="G45">
        <v>200</v>
      </c>
      <c r="H45" t="s">
        <v>13</v>
      </c>
      <c r="I45" s="9">
        <v>0.65600000000000003</v>
      </c>
      <c r="J45" s="18">
        <v>0.71699999999999997</v>
      </c>
      <c r="K45" s="18">
        <v>0.63500000000000001</v>
      </c>
      <c r="L45" s="22">
        <f t="shared" si="0"/>
        <v>0.71699999999999997</v>
      </c>
      <c r="M45" s="9">
        <v>0.25600000000000001</v>
      </c>
      <c r="N45" s="2">
        <v>0.29799999999999999</v>
      </c>
      <c r="O45" s="2">
        <v>0.28999999999999998</v>
      </c>
      <c r="P45" s="3">
        <f t="shared" si="1"/>
        <v>0.29799999999999999</v>
      </c>
      <c r="T45" s="3"/>
    </row>
    <row r="46" spans="2:20" x14ac:dyDescent="0.25">
      <c r="B46" s="1">
        <v>43</v>
      </c>
      <c r="C46" s="9" t="s">
        <v>35</v>
      </c>
      <c r="D46" t="s">
        <v>33</v>
      </c>
      <c r="E46" t="s">
        <v>12</v>
      </c>
      <c r="F46">
        <v>512</v>
      </c>
      <c r="G46">
        <v>200</v>
      </c>
      <c r="H46" t="s">
        <v>13</v>
      </c>
      <c r="I46" s="9">
        <v>0.59899999999999998</v>
      </c>
      <c r="J46" s="18">
        <v>0.72099999999999997</v>
      </c>
      <c r="K46" s="18">
        <v>0.621</v>
      </c>
      <c r="L46" s="22">
        <f t="shared" si="0"/>
        <v>0.72099999999999997</v>
      </c>
      <c r="M46" s="9">
        <v>0.222</v>
      </c>
      <c r="N46" s="2">
        <v>0.29499999999999998</v>
      </c>
      <c r="O46" s="2">
        <v>0.28699999999999998</v>
      </c>
      <c r="P46" s="3">
        <f t="shared" si="1"/>
        <v>0.29499999999999998</v>
      </c>
      <c r="T46" s="3"/>
    </row>
  </sheetData>
  <autoFilter ref="B3:P40" xr:uid="{CE3605DF-CC1B-4120-B106-3EBE857924BB}">
    <sortState xmlns:xlrd2="http://schemas.microsoft.com/office/spreadsheetml/2017/richdata2" ref="B4:P40">
      <sortCondition ref="B3:B40"/>
    </sortState>
  </autoFilter>
  <mergeCells count="2">
    <mergeCell ref="I2:L2"/>
    <mergeCell ref="M2:P2"/>
  </mergeCells>
  <conditionalFormatting sqref="J41:L46 I4:L40">
    <cfRule type="colorScale" priority="15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41:P46 M4:P40">
    <cfRule type="colorScale" priority="15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41:T46">
    <cfRule type="colorScale" priority="16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4:L46">
    <cfRule type="colorScale" priority="20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4:P46">
    <cfRule type="colorScale" priority="20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4</vt:i4>
      </vt:variant>
    </vt:vector>
  </HeadingPairs>
  <TitlesOfParts>
    <vt:vector size="4" baseType="lpstr">
      <vt:lpstr>Lymphocytes</vt:lpstr>
      <vt:lpstr>Monocytes</vt:lpstr>
      <vt:lpstr>Class Average</vt:lpstr>
      <vt:lpstr>Combined Cells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Štěpán Tupý</dc:creator>
  <cp:lastModifiedBy>Štěpán Tupý</cp:lastModifiedBy>
  <dcterms:created xsi:type="dcterms:W3CDTF">2025-05-12T15:32:38Z</dcterms:created>
  <dcterms:modified xsi:type="dcterms:W3CDTF">2026-02-13T19:44:52Z</dcterms:modified>
</cp:coreProperties>
</file>